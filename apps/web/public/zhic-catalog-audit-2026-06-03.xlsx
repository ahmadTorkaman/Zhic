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Designs" sheetId="2" r:id="rId2"/>
    <sheet name="Categories" sheetId="3" r:id="rId3"/>
    <sheet name="Collections" sheetId="4" r:id="rId4"/>
    <sheet name="Room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cols>
    <col min="1" max="1" width="13" customWidth="1"/>
  </cols>
  <sheetViews>
    <sheetView workbookViewId="0">
      <pane xSplit="0" ySplit="1" topLeftCell="A2" activePane="bottomLeft" state="frozen"/>
    </sheetView>
  </sheetViews>
  <sheetData>
    <row r="1">
      <c r="A1" t="inlineStr">
        <is>
          <t xml:space="preserve">preview</t>
        </is>
      </c>
      <c r="B1" t="inlineStr">
        <is>
          <t xml:space="preserve">id</t>
        </is>
      </c>
      <c r="C1" t="inlineStr">
        <is>
          <t xml:space="preserve">status</t>
        </is>
      </c>
      <c r="D1" t="inlineStr">
        <is>
          <t xml:space="preserve">design</t>
        </is>
      </c>
      <c r="E1" t="inlineStr">
        <is>
          <t xml:space="preserve">piece_type</t>
        </is>
      </c>
      <c r="F1" t="inlineStr">
        <is>
          <t xml:space="preserve">name</t>
        </is>
      </c>
      <c r="G1" t="inlineStr">
        <is>
          <t xml:space="preserve">slug</t>
        </is>
      </c>
      <c r="H1" t="inlineStr">
        <is>
          <t xml:space="preserve">sku</t>
        </is>
      </c>
      <c r="I1" t="inlineStr">
        <is>
          <t xml:space="preserve">occupancies</t>
        </is>
      </c>
      <c r="J1" t="inlineStr">
        <is>
          <t xml:space="preserve">basePriceRials</t>
        </is>
      </c>
      <c r="K1" t="inlineStr">
        <is>
          <t xml:space="preserve">salePriceRials</t>
        </is>
      </c>
      <c r="L1" t="inlineStr">
        <is>
          <t xml:space="preserve">leadTimeDays</t>
        </is>
      </c>
      <c r="M1" t="inlineStr">
        <is>
          <t xml:space="preserve">warrantyYears</t>
        </is>
      </c>
      <c r="N1" t="inlineStr">
        <is>
          <t xml:space="preserve">afterSalesYears</t>
        </is>
      </c>
      <c r="O1" t="inlineStr">
        <is>
          <t xml:space="preserve">availability</t>
        </is>
      </c>
      <c r="P1" t="inlineStr">
        <is>
          <t xml:space="preserve">dimensions</t>
        </is>
      </c>
      <c r="Q1" t="inlineStr">
        <is>
          <t xml:space="preserve">materials</t>
        </is>
      </c>
      <c r="R1" t="inlineStr">
        <is>
          <t xml:space="preserve">categories</t>
        </is>
      </c>
      <c r="S1" t="inlineStr">
        <is>
          <t xml:space="preserve">tags</t>
        </is>
      </c>
      <c r="T1" t="inlineStr">
        <is>
          <t xml:space="preserve">featured</t>
        </is>
      </c>
      <c r="U1" t="inlineStr">
        <is>
          <t xml:space="preserve">shortDescription</t>
        </is>
      </c>
      <c r="V1" t="inlineStr">
        <is>
          <t xml:space="preserve">has_longDesc</t>
        </is>
      </c>
      <c r="W1" t="inlineStr">
        <is>
          <t xml:space="preserve">has_seo</t>
        </is>
      </c>
      <c r="X1" t="inlineStr">
        <is>
          <t xml:space="preserve">media_count</t>
        </is>
      </c>
      <c r="Y1" t="inlineStr">
        <is>
          <t xml:space="preserve">media_filenames</t>
        </is>
      </c>
      <c r="Z1" t="inlineStr">
        <is>
          <t xml:space="preserve">media_urls</t>
        </is>
      </c>
      <c r="AA1" t="inlineStr">
        <is>
          <t xml:space="preserve">correct? ✓/✗</t>
        </is>
      </c>
      <c r="AB1" t="inlineStr">
        <is>
          <t xml:space="preserve">issue_type</t>
        </is>
      </c>
      <c r="AC1" t="inlineStr">
        <is>
          <t xml:space="preserve">notes</t>
        </is>
      </c>
      <c r="AD1" t="inlineStr">
        <is>
          <t xml:space="preserve">fixed?</t>
        </is>
      </c>
    </row>
    <row r="2" ht="48" customHeight="1">
      <c r="A2">
        <f>IMAGE("http://80.240.31.146:3000/_next/image?url=%2Fapi%2Fmedia%2Ffile%2Fverna-wardrobe-2-doors-mdf-picture.webp&amp;w=256&amp;q=75",4,60,80)</f>
      </c>
      <c r="B2" t="n">
        <v>578</v>
      </c>
      <c r="C2" t="inlineStr">
        <is>
          <t xml:space="preserve">published</t>
        </is>
      </c>
      <c r="D2" t="inlineStr">
        <is>
          <t xml:space="preserve">ورنا</t>
        </is>
      </c>
      <c r="F2" t="inlineStr">
        <is>
          <t xml:space="preserve">کمد ورنا</t>
        </is>
      </c>
      <c r="G2" t="inlineStr">
        <is>
          <t xml:space="preserve">verna-wardrobe</t>
        </is>
      </c>
      <c r="H2" t="inlineStr">
        <is>
          <t xml:space="preserve">verna-wardrobe</t>
        </is>
      </c>
      <c r="I2" t="inlineStr">
        <is>
          <t xml:space="preserve">double, teen</t>
        </is>
      </c>
      <c r="J2" t="n">
        <v>671660000</v>
      </c>
      <c r="L2" t="n">
        <v>14</v>
      </c>
      <c r="M2" t="n">
        <v>5</v>
      </c>
      <c r="N2" t="n">
        <v>5</v>
      </c>
      <c r="O2" t="inlineStr">
        <is>
          <t xml:space="preserve">in_stock</t>
        </is>
      </c>
      <c r="P2" t="inlineStr">
        <is>
          <t xml:space="preserve">width:120 · height:220 · depth:60</t>
        </is>
      </c>
      <c r="R2" t="inlineStr">
        <is>
          <t xml:space="preserve">کمد</t>
        </is>
      </c>
      <c r="X2" t="n">
        <v>2</v>
      </c>
      <c r="Y2" t="inlineStr">
        <is>
          <t xml:space="preserve">verna-wardrobe-2-doors-mdf-picture.webp; verna-wardrobe-2-doors-mdf.webp</t>
        </is>
      </c>
      <c r="Z2" t="inlineStr">
        <is>
          <t xml:space="preserve">http://80.240.31.146:3000/api/media/file/verna-wardrobe-2-doors-mdf-picture.webp; http://80.240.31.146:3000/api/media/file/verna-wardrobe-2-doors-mdf.webp</t>
        </is>
      </c>
    </row>
    <row r="3" ht="48" customHeight="1">
      <c r="A3">
        <f>IMAGE("http://80.240.31.146:3000/_next/image?url=%2Fapi%2Fmedia%2Ffile%2Fverna-vanity-3-drawers-picture-v2.webp&amp;w=256&amp;q=75",4,60,80)</f>
      </c>
      <c r="B3" t="n">
        <v>577</v>
      </c>
      <c r="C3" t="inlineStr">
        <is>
          <t xml:space="preserve">draft</t>
        </is>
      </c>
      <c r="D3" t="inlineStr">
        <is>
          <t xml:space="preserve">ورنا</t>
        </is>
      </c>
      <c r="F3" t="inlineStr">
        <is>
          <t xml:space="preserve">میز آرایش ورنا</t>
        </is>
      </c>
      <c r="G3" t="inlineStr">
        <is>
          <t xml:space="preserve">verna-vanity</t>
        </is>
      </c>
      <c r="H3" t="inlineStr">
        <is>
          <t xml:space="preserve">verna-vanity</t>
        </is>
      </c>
      <c r="I3" t="inlineStr">
        <is>
          <t xml:space="preserve">double, teen</t>
        </is>
      </c>
      <c r="J3" t="n">
        <v>0</v>
      </c>
      <c r="L3" t="n">
        <v>14</v>
      </c>
      <c r="M3" t="n">
        <v>5</v>
      </c>
      <c r="N3" t="n">
        <v>5</v>
      </c>
      <c r="O3" t="inlineStr">
        <is>
          <t xml:space="preserve">made_to_order</t>
        </is>
      </c>
      <c r="P3" t="inlineStr">
        <is>
          <t xml:space="preserve">width:100 · height:78 · depth:45</t>
        </is>
      </c>
      <c r="R3" t="inlineStr">
        <is>
          <t xml:space="preserve">میز آرایش</t>
        </is>
      </c>
      <c r="X3" t="n">
        <v>5</v>
      </c>
      <c r="Y3" t="inlineStr">
        <is>
          <t xml:space="preserve">verna-vanity-3-drawers-picture-v2.webp; verna-vanity-3-drawers-picture.webp; verna-vanity-3-drawers-v2-alt.webp; verna-vanity-3-drawers-v2.webp; verna-vanity-3-drawers.webp</t>
        </is>
      </c>
      <c r="Z3" t="inlineStr">
        <is>
          <t xml:space="preserve">http://80.240.31.146:3000/api/media/file/verna-vanity-3-drawers-picture-v2.webp; http://80.240.31.146:3000/api/media/file/verna-vanity-3-drawers-picture.webp; http://80.240.31.146:3000/api/media/file/verna-vanity-3-drawers-v2-alt.webp; http://80.240.31.146:3000/api/media/file/verna-vanity-3-drawers-v2.webp; http://80.240.31.146:3000/api/media/file/verna-vanity-3-drawers.webp</t>
        </is>
      </c>
    </row>
    <row r="4" ht="48" customHeight="1">
      <c r="B4" t="n">
        <v>576</v>
      </c>
      <c r="C4" t="inlineStr">
        <is>
          <t xml:space="preserve">draft</t>
        </is>
      </c>
      <c r="D4" t="inlineStr">
        <is>
          <t xml:space="preserve">ورنا</t>
        </is>
      </c>
      <c r="F4" t="inlineStr">
        <is>
          <t xml:space="preserve">آینه رومیزی ورنا</t>
        </is>
      </c>
      <c r="G4" t="inlineStr">
        <is>
          <t xml:space="preserve">verna-table-mirror</t>
        </is>
      </c>
      <c r="H4" t="inlineStr">
        <is>
          <t xml:space="preserve">verna-table-mirror</t>
        </is>
      </c>
      <c r="I4" t="inlineStr">
        <is>
          <t xml:space="preserve">double, teen</t>
        </is>
      </c>
      <c r="J4" t="n">
        <v>88520000</v>
      </c>
      <c r="L4" t="n">
        <v>14</v>
      </c>
      <c r="M4" t="n">
        <v>5</v>
      </c>
      <c r="N4" t="n">
        <v>5</v>
      </c>
      <c r="O4" t="inlineStr">
        <is>
          <t xml:space="preserve">in_stock</t>
        </is>
      </c>
      <c r="P4" t="inlineStr">
        <is>
          <t xml:space="preserve">width:60 · height:70 · depth:5</t>
        </is>
      </c>
      <c r="R4" t="inlineStr">
        <is>
          <t xml:space="preserve">آینه رومیزی</t>
        </is>
      </c>
      <c r="X4" t="n">
        <v>0</v>
      </c>
    </row>
    <row r="5" ht="48" customHeight="1">
      <c r="A5">
        <f>IMAGE("http://80.240.31.146:3000/_next/image?url=%2Fapi%2Fmedia%2Ffile%2Fverna-study-desk-light-picture-v2.webp&amp;w=256&amp;q=75",4,60,80)</f>
      </c>
      <c r="B5" t="n">
        <v>575</v>
      </c>
      <c r="C5" t="inlineStr">
        <is>
          <t xml:space="preserve">published</t>
        </is>
      </c>
      <c r="D5" t="inlineStr">
        <is>
          <t xml:space="preserve">ورنا</t>
        </is>
      </c>
      <c r="F5" t="inlineStr">
        <is>
          <t xml:space="preserve">میز تحریر ورنا</t>
        </is>
      </c>
      <c r="G5" t="inlineStr">
        <is>
          <t xml:space="preserve">verna-study-desk</t>
        </is>
      </c>
      <c r="H5" t="inlineStr">
        <is>
          <t xml:space="preserve">verna-study-desk</t>
        </is>
      </c>
      <c r="I5" t="inlineStr">
        <is>
          <t xml:space="preserve">double, teen</t>
        </is>
      </c>
      <c r="J5" t="n">
        <v>473540000</v>
      </c>
      <c r="L5" t="n">
        <v>14</v>
      </c>
      <c r="M5" t="n">
        <v>5</v>
      </c>
      <c r="N5" t="n">
        <v>5</v>
      </c>
      <c r="O5" t="inlineStr">
        <is>
          <t xml:space="preserve">in_stock</t>
        </is>
      </c>
      <c r="P5" t="inlineStr">
        <is>
          <t xml:space="preserve">width:120 · height:75 · depth:60</t>
        </is>
      </c>
      <c r="R5" t="inlineStr">
        <is>
          <t xml:space="preserve">میز تحریر</t>
        </is>
      </c>
      <c r="X5" t="n">
        <v>9</v>
      </c>
      <c r="Y5" t="inlineStr">
        <is>
          <t xml:space="preserve">verna-study-desk-light-picture-v2.webp; verna-study-desk-light-picture-v3.webp; verna-study-desk-light-picture-v4.webp; verna-study-desk-light-picture.webp; verna-study-desk-picture-v2.webp; verna-study-desk-picture-v3.webp; verna-study-desk-picture.webp; verna-study-desk-light.webp; verna-study-desk.webp</t>
        </is>
      </c>
      <c r="Z5" t="inlineStr">
        <is>
          <t xml:space="preserve">http://80.240.31.146:3000/api/media/file/verna-study-desk-light-picture-v2.webp; http://80.240.31.146:3000/api/media/file/verna-study-desk-light-picture-v3.webp; http://80.240.31.146:3000/api/media/file/verna-study-desk-light-picture-v4.webp; http://80.240.31.146:3000/api/media/file/verna-study-desk-light-picture.webp; http://80.240.31.146:3000/api/media/file/verna-study-desk-picture-v2.webp; http://80.240.31.146:3000/api/media/file/verna-study-desk-picture-v3.webp; http://80.240.31.146:3000/api/media/file/verna-study-desk-picture.webp; http://80.240.31.146:3000/api/media/file/verna-study-desk-light.webp; http://80.240.31.146:3000/api/media/file/verna-study-desk.webp</t>
        </is>
      </c>
    </row>
    <row r="6" ht="48" customHeight="1">
      <c r="A6">
        <f>IMAGE("http://80.240.31.146:3000/_next/image?url=%2Fapi%2Fmedia%2Ffile%2Fverna-single-bed-120-picture-v2.webp&amp;w=256&amp;q=75",4,60,80)</f>
      </c>
      <c r="B6" t="n">
        <v>574</v>
      </c>
      <c r="C6" t="inlineStr">
        <is>
          <t xml:space="preserve">published</t>
        </is>
      </c>
      <c r="D6" t="inlineStr">
        <is>
          <t xml:space="preserve">ورنا</t>
        </is>
      </c>
      <c r="F6" t="inlineStr">
        <is>
          <t xml:space="preserve">تخت یک نفره ورنا</t>
        </is>
      </c>
      <c r="G6" t="inlineStr">
        <is>
          <t xml:space="preserve">verna-single-bed</t>
        </is>
      </c>
      <c r="H6" t="inlineStr">
        <is>
          <t xml:space="preserve">verna-single-bed</t>
        </is>
      </c>
      <c r="I6" t="inlineStr">
        <is>
          <t xml:space="preserve">double, teen</t>
        </is>
      </c>
      <c r="J6" t="n">
        <v>419690000</v>
      </c>
      <c r="L6" t="n">
        <v>14</v>
      </c>
      <c r="M6" t="n">
        <v>5</v>
      </c>
      <c r="N6" t="n">
        <v>5</v>
      </c>
      <c r="O6" t="inlineStr">
        <is>
          <t xml:space="preserve">in_stock</t>
        </is>
      </c>
      <c r="P6" t="inlineStr">
        <is>
          <t xml:space="preserve">width:100 · height:110 · depth:210</t>
        </is>
      </c>
      <c r="R6" t="inlineStr">
        <is>
          <t xml:space="preserve">تخت یک نفره</t>
        </is>
      </c>
      <c r="X6" t="n">
        <v>6</v>
      </c>
      <c r="Y6" t="inlineStr">
        <is>
          <t xml:space="preserve">verna-single-bed-120-picture-v2.webp; verna-single-bed-120-picture-v3.webp; verna-single-bed-120-picture-v4.webp; verna-single-bed-120-picture-v5.webp; verna-single-bed-120-picture.webp; verna-single-bed-120.webp</t>
        </is>
      </c>
      <c r="Z6" t="inlineStr">
        <is>
          <t xml:space="preserve">http://80.240.31.146:3000/api/media/file/verna-single-bed-120-picture-v2.webp; http://80.240.31.146:3000/api/media/file/verna-single-bed-120-picture-v3.webp; http://80.240.31.146:3000/api/media/file/verna-single-bed-120-picture-v4.webp; http://80.240.31.146:3000/api/media/file/verna-single-bed-120-picture-v5.webp; http://80.240.31.146:3000/api/media/file/verna-single-bed-120-picture.webp; http://80.240.31.146:3000/api/media/file/verna-single-bed-120.webp</t>
        </is>
      </c>
    </row>
    <row r="7" ht="48" customHeight="1">
      <c r="A7">
        <f>IMAGE("http://80.240.31.146:3000/_next/image?url=%2Fapi%2Fmedia%2Ffile%2Fverna-nightstand-picture-v2.webp&amp;w=256&amp;q=75",4,60,80)</f>
      </c>
      <c r="B7" t="n">
        <v>573</v>
      </c>
      <c r="C7" t="inlineStr">
        <is>
          <t xml:space="preserve">published</t>
        </is>
      </c>
      <c r="D7" t="inlineStr">
        <is>
          <t xml:space="preserve">ورنا</t>
        </is>
      </c>
      <c r="F7" t="inlineStr">
        <is>
          <t xml:space="preserve">پاتختی ورنا</t>
        </is>
      </c>
      <c r="G7" t="inlineStr">
        <is>
          <t xml:space="preserve">verna-nightstand</t>
        </is>
      </c>
      <c r="H7" t="inlineStr">
        <is>
          <t xml:space="preserve">verna-nightstand</t>
        </is>
      </c>
      <c r="I7" t="inlineStr">
        <is>
          <t xml:space="preserve">double, teen</t>
        </is>
      </c>
      <c r="J7" t="n">
        <v>174300000</v>
      </c>
      <c r="L7" t="n">
        <v>14</v>
      </c>
      <c r="M7" t="n">
        <v>5</v>
      </c>
      <c r="N7" t="n">
        <v>5</v>
      </c>
      <c r="O7" t="inlineStr">
        <is>
          <t xml:space="preserve">in_stock</t>
        </is>
      </c>
      <c r="P7" t="inlineStr">
        <is>
          <t xml:space="preserve">width:50 · height:55 · depth:40</t>
        </is>
      </c>
      <c r="R7" t="inlineStr">
        <is>
          <t xml:space="preserve">پاتختی</t>
        </is>
      </c>
      <c r="X7" t="n">
        <v>3</v>
      </c>
      <c r="Y7" t="inlineStr">
        <is>
          <t xml:space="preserve">verna-nightstand-picture-v2.webp; verna-nightstand-picture.webp; verna-nightstand.webp</t>
        </is>
      </c>
      <c r="Z7" t="inlineStr">
        <is>
          <t xml:space="preserve">http://80.240.31.146:3000/api/media/file/verna-nightstand-picture-v2.webp; http://80.240.31.146:3000/api/media/file/verna-nightstand-picture.webp; http://80.240.31.146:3000/api/media/file/verna-nightstand.webp</t>
        </is>
      </c>
    </row>
    <row r="8" ht="48" customHeight="1">
      <c r="A8">
        <f>IMAGE("http://80.240.31.146:3000/_next/image?url=%2Fapi%2Fmedia%2Ffile%2Fverna-double-bed-160-picture-v2.webp&amp;w=256&amp;q=75",4,60,80)</f>
      </c>
      <c r="B8" t="n">
        <v>572</v>
      </c>
      <c r="C8" t="inlineStr">
        <is>
          <t xml:space="preserve">published</t>
        </is>
      </c>
      <c r="D8" t="inlineStr">
        <is>
          <t xml:space="preserve">ورنا</t>
        </is>
      </c>
      <c r="F8" t="inlineStr">
        <is>
          <t xml:space="preserve">تخت دونفره ورنا</t>
        </is>
      </c>
      <c r="G8" t="inlineStr">
        <is>
          <t xml:space="preserve">verna-double-bed</t>
        </is>
      </c>
      <c r="H8" t="inlineStr">
        <is>
          <t xml:space="preserve">verna-double-bed</t>
        </is>
      </c>
      <c r="I8" t="inlineStr">
        <is>
          <t xml:space="preserve">double, teen</t>
        </is>
      </c>
      <c r="J8" t="n">
        <v>528650000</v>
      </c>
      <c r="L8" t="n">
        <v>14</v>
      </c>
      <c r="M8" t="n">
        <v>5</v>
      </c>
      <c r="N8" t="n">
        <v>5</v>
      </c>
      <c r="O8" t="inlineStr">
        <is>
          <t xml:space="preserve">in_stock</t>
        </is>
      </c>
      <c r="P8" t="inlineStr">
        <is>
          <t xml:space="preserve">width:160 · height:110 · depth:215</t>
        </is>
      </c>
      <c r="R8" t="inlineStr">
        <is>
          <t xml:space="preserve">تخت دونفره</t>
        </is>
      </c>
      <c r="X8" t="n">
        <v>2</v>
      </c>
      <c r="Y8" t="inlineStr">
        <is>
          <t xml:space="preserve">verna-double-bed-160-picture-v2.webp; verna-double-bed-160-picture-v3.webp</t>
        </is>
      </c>
      <c r="Z8" t="inlineStr">
        <is>
          <t xml:space="preserve">http://80.240.31.146:3000/api/media/file/verna-double-bed-160-picture-v2.webp; http://80.240.31.146:3000/api/media/file/verna-double-bed-160-picture-v3.webp</t>
        </is>
      </c>
    </row>
    <row r="9" ht="48" customHeight="1">
      <c r="A9">
        <f>IMAGE("http://80.240.31.146:3000/_next/image?url=%2Fapi%2Fmedia%2Ffile%2Fverna-bookcase-picture.webp&amp;w=256&amp;q=75",4,60,80)</f>
      </c>
      <c r="B9" t="n">
        <v>571</v>
      </c>
      <c r="C9" t="inlineStr">
        <is>
          <t xml:space="preserve">published</t>
        </is>
      </c>
      <c r="D9" t="inlineStr">
        <is>
          <t xml:space="preserve">ورنا</t>
        </is>
      </c>
      <c r="F9" t="inlineStr">
        <is>
          <t xml:space="preserve">کتابخانه ورنا</t>
        </is>
      </c>
      <c r="G9" t="inlineStr">
        <is>
          <t xml:space="preserve">verna-bookcase</t>
        </is>
      </c>
      <c r="H9" t="inlineStr">
        <is>
          <t xml:space="preserve">verna-bookcase</t>
        </is>
      </c>
      <c r="I9" t="inlineStr">
        <is>
          <t xml:space="preserve">double, teen</t>
        </is>
      </c>
      <c r="J9" t="n">
        <v>475680000</v>
      </c>
      <c r="L9" t="n">
        <v>14</v>
      </c>
      <c r="M9" t="n">
        <v>5</v>
      </c>
      <c r="N9" t="n">
        <v>5</v>
      </c>
      <c r="O9" t="inlineStr">
        <is>
          <t xml:space="preserve">in_stock</t>
        </is>
      </c>
      <c r="P9" t="inlineStr">
        <is>
          <t xml:space="preserve">width:80 · height:200 · depth:35</t>
        </is>
      </c>
      <c r="R9" t="inlineStr">
        <is>
          <t xml:space="preserve">کتابخانه</t>
        </is>
      </c>
      <c r="X9" t="n">
        <v>2</v>
      </c>
      <c r="Y9" t="inlineStr">
        <is>
          <t xml:space="preserve">verna-bookcase-picture.webp; verna-bookcase.webp</t>
        </is>
      </c>
      <c r="Z9" t="inlineStr">
        <is>
          <t xml:space="preserve">http://80.240.31.146:3000/api/media/file/verna-bookcase-picture.webp; http://80.240.31.146:3000/api/media/file/verna-bookcase.webp</t>
        </is>
      </c>
    </row>
    <row r="10" ht="48" customHeight="1">
      <c r="A10">
        <f>IMAGE("http://80.240.31.146:3000/_next/image?url=%2Fapi%2Fmedia%2Ffile%2Fskate-wardrobe-3-doors-mdf.webp&amp;w=256&amp;q=75",4,60,80)</f>
      </c>
      <c r="B10" t="n">
        <v>570</v>
      </c>
      <c r="C10" t="inlineStr">
        <is>
          <t xml:space="preserve">published</t>
        </is>
      </c>
      <c r="D10" t="inlineStr">
        <is>
          <t xml:space="preserve">اسکیت</t>
        </is>
      </c>
      <c r="F10" t="inlineStr">
        <is>
          <t xml:space="preserve">کمد اسکیت</t>
        </is>
      </c>
      <c r="G10" t="inlineStr">
        <is>
          <t xml:space="preserve">skate-wardrobe</t>
        </is>
      </c>
      <c r="H10" t="inlineStr">
        <is>
          <t xml:space="preserve">skate-wardrobe</t>
        </is>
      </c>
      <c r="I10" t="inlineStr">
        <is>
          <t xml:space="preserve">baby, teen</t>
        </is>
      </c>
      <c r="J10" t="n">
        <v>784710000</v>
      </c>
      <c r="L10" t="n">
        <v>14</v>
      </c>
      <c r="M10" t="n">
        <v>5</v>
      </c>
      <c r="N10" t="n">
        <v>5</v>
      </c>
      <c r="O10" t="inlineStr">
        <is>
          <t xml:space="preserve">in_stock</t>
        </is>
      </c>
      <c r="P10" t="inlineStr">
        <is>
          <t xml:space="preserve">width:120 · height:220 · depth:60</t>
        </is>
      </c>
      <c r="R10" t="inlineStr">
        <is>
          <t xml:space="preserve">کمد</t>
        </is>
      </c>
      <c r="X10" t="n">
        <v>1</v>
      </c>
      <c r="Y10" t="inlineStr">
        <is>
          <t xml:space="preserve">skate-wardrobe-3-doors-mdf.webp</t>
        </is>
      </c>
      <c r="Z10" t="inlineStr">
        <is>
          <t xml:space="preserve">http://80.240.31.146:3000/api/media/file/skate-wardrobe-3-doors-mdf.webp</t>
        </is>
      </c>
    </row>
    <row r="11" ht="48" customHeight="1">
      <c r="B11" t="n">
        <v>569</v>
      </c>
      <c r="C11" t="inlineStr">
        <is>
          <t xml:space="preserve">draft</t>
        </is>
      </c>
      <c r="D11" t="inlineStr">
        <is>
          <t xml:space="preserve">اسکیت</t>
        </is>
      </c>
      <c r="F11" t="inlineStr">
        <is>
          <t xml:space="preserve">شلف دیواری اسکیت</t>
        </is>
      </c>
      <c r="G11" t="inlineStr">
        <is>
          <t xml:space="preserve">skate-wall-shelf</t>
        </is>
      </c>
      <c r="H11" t="inlineStr">
        <is>
          <t xml:space="preserve">skate-wall-shelf</t>
        </is>
      </c>
      <c r="I11" t="inlineStr">
        <is>
          <t xml:space="preserve">baby, teen</t>
        </is>
      </c>
      <c r="J11" t="n">
        <v>183180000</v>
      </c>
      <c r="L11" t="n">
        <v>14</v>
      </c>
      <c r="M11" t="n">
        <v>5</v>
      </c>
      <c r="N11" t="n">
        <v>5</v>
      </c>
      <c r="O11" t="inlineStr">
        <is>
          <t xml:space="preserve">in_stock</t>
        </is>
      </c>
      <c r="P11" t="inlineStr">
        <is>
          <t xml:space="preserve">width:80 · height:25 · depth:25</t>
        </is>
      </c>
      <c r="R11" t="inlineStr">
        <is>
          <t xml:space="preserve">شلف دیواری (براکت)</t>
        </is>
      </c>
      <c r="X11" t="n">
        <v>0</v>
      </c>
    </row>
    <row r="12" ht="48" customHeight="1">
      <c r="A12">
        <f>IMAGE("http://80.240.31.146:3000/_next/image?url=%2Fapi%2Fmedia%2Ffile%2Fskate-wall-mirror.webp&amp;w=256&amp;q=75",4,60,80)</f>
      </c>
      <c r="B12" t="n">
        <v>568</v>
      </c>
      <c r="C12" t="inlineStr">
        <is>
          <t xml:space="preserve">published</t>
        </is>
      </c>
      <c r="D12" t="inlineStr">
        <is>
          <t xml:space="preserve">اسکیت</t>
        </is>
      </c>
      <c r="F12" t="inlineStr">
        <is>
          <t xml:space="preserve">آینه دیواری اسکیت</t>
        </is>
      </c>
      <c r="G12" t="inlineStr">
        <is>
          <t xml:space="preserve">skate-wall-mirror</t>
        </is>
      </c>
      <c r="H12" t="inlineStr">
        <is>
          <t xml:space="preserve">skate-wall-mirror</t>
        </is>
      </c>
      <c r="I12" t="inlineStr">
        <is>
          <t xml:space="preserve">baby, teen</t>
        </is>
      </c>
      <c r="J12" t="n">
        <v>106020000</v>
      </c>
      <c r="L12" t="n">
        <v>14</v>
      </c>
      <c r="M12" t="n">
        <v>5</v>
      </c>
      <c r="N12" t="n">
        <v>5</v>
      </c>
      <c r="O12" t="inlineStr">
        <is>
          <t xml:space="preserve">in_stock</t>
        </is>
      </c>
      <c r="P12" t="inlineStr">
        <is>
          <t xml:space="preserve">width:80 · height:100 · depth:5</t>
        </is>
      </c>
      <c r="R12" t="inlineStr">
        <is>
          <t xml:space="preserve">آینه دیواری</t>
        </is>
      </c>
      <c r="X12" t="n">
        <v>1</v>
      </c>
      <c r="Y12" t="inlineStr">
        <is>
          <t xml:space="preserve">skate-wall-mirror.webp</t>
        </is>
      </c>
      <c r="Z12" t="inlineStr">
        <is>
          <t xml:space="preserve">http://80.240.31.146:3000/api/media/file/skate-wall-mirror.webp</t>
        </is>
      </c>
    </row>
    <row r="13" ht="48" customHeight="1">
      <c r="B13" t="n">
        <v>567</v>
      </c>
      <c r="C13" t="inlineStr">
        <is>
          <t xml:space="preserve">draft</t>
        </is>
      </c>
      <c r="D13" t="inlineStr">
        <is>
          <t xml:space="preserve">اسکیت</t>
        </is>
      </c>
      <c r="F13" t="inlineStr">
        <is>
          <t xml:space="preserve">میز آرایش اسکیت</t>
        </is>
      </c>
      <c r="G13" t="inlineStr">
        <is>
          <t xml:space="preserve">skate-vanity</t>
        </is>
      </c>
      <c r="H13" t="inlineStr">
        <is>
          <t xml:space="preserve">skate-vanity</t>
        </is>
      </c>
      <c r="I13" t="inlineStr">
        <is>
          <t xml:space="preserve">baby, teen</t>
        </is>
      </c>
      <c r="J13" t="n">
        <v>408630000</v>
      </c>
      <c r="L13" t="n">
        <v>14</v>
      </c>
      <c r="M13" t="n">
        <v>5</v>
      </c>
      <c r="N13" t="n">
        <v>5</v>
      </c>
      <c r="O13" t="inlineStr">
        <is>
          <t xml:space="preserve">in_stock</t>
        </is>
      </c>
      <c r="P13" t="inlineStr">
        <is>
          <t xml:space="preserve">width:100 · height:78 · depth:45</t>
        </is>
      </c>
      <c r="R13" t="inlineStr">
        <is>
          <t xml:space="preserve">میز آرایش</t>
        </is>
      </c>
      <c r="X13" t="n">
        <v>0</v>
      </c>
    </row>
    <row r="14" ht="48" customHeight="1">
      <c r="A14">
        <f>IMAGE("http://80.240.31.146:3000/_next/image?url=%2Fapi%2Fmedia%2Ffile%2Fskate-study-desk-hutch.webp&amp;w=256&amp;q=75",4,60,80)</f>
      </c>
      <c r="B14" t="n">
        <v>566</v>
      </c>
      <c r="C14" t="inlineStr">
        <is>
          <t xml:space="preserve">published</t>
        </is>
      </c>
      <c r="D14" t="inlineStr">
        <is>
          <t xml:space="preserve">اسکیت</t>
        </is>
      </c>
      <c r="F14" t="inlineStr">
        <is>
          <t xml:space="preserve">میز تحریر اسکیت</t>
        </is>
      </c>
      <c r="G14" t="inlineStr">
        <is>
          <t xml:space="preserve">skate-study-desk</t>
        </is>
      </c>
      <c r="H14" t="inlineStr">
        <is>
          <t xml:space="preserve">skate-study-desk</t>
        </is>
      </c>
      <c r="I14" t="inlineStr">
        <is>
          <t xml:space="preserve">baby, teen</t>
        </is>
      </c>
      <c r="J14" t="n">
        <v>503360000</v>
      </c>
      <c r="L14" t="n">
        <v>14</v>
      </c>
      <c r="M14" t="n">
        <v>5</v>
      </c>
      <c r="N14" t="n">
        <v>5</v>
      </c>
      <c r="O14" t="inlineStr">
        <is>
          <t xml:space="preserve">in_stock</t>
        </is>
      </c>
      <c r="P14" t="inlineStr">
        <is>
          <t xml:space="preserve">width:120 · height:75 · depth:60</t>
        </is>
      </c>
      <c r="R14" t="inlineStr">
        <is>
          <t xml:space="preserve">میز تحریر</t>
        </is>
      </c>
      <c r="X14" t="n">
        <v>1</v>
      </c>
      <c r="Y14" t="inlineStr">
        <is>
          <t xml:space="preserve">skate-study-desk-hutch.webp</t>
        </is>
      </c>
      <c r="Z14" t="inlineStr">
        <is>
          <t xml:space="preserve">http://80.240.31.146:3000/api/media/file/skate-study-desk-hutch.webp</t>
        </is>
      </c>
    </row>
    <row r="15" ht="48" customHeight="1">
      <c r="B15" t="n">
        <v>565</v>
      </c>
      <c r="C15" t="inlineStr">
        <is>
          <t xml:space="preserve">draft</t>
        </is>
      </c>
      <c r="D15" t="inlineStr">
        <is>
          <t xml:space="preserve">اسکیت</t>
        </is>
      </c>
      <c r="F15" t="inlineStr">
        <is>
          <t xml:space="preserve">صندلی میز تحریر اسکیت</t>
        </is>
      </c>
      <c r="G15" t="inlineStr">
        <is>
          <t xml:space="preserve">skate-study-chair</t>
        </is>
      </c>
      <c r="H15" t="inlineStr">
        <is>
          <t xml:space="preserve">skate-study-chair</t>
        </is>
      </c>
      <c r="I15" t="inlineStr">
        <is>
          <t xml:space="preserve">baby, teen</t>
        </is>
      </c>
      <c r="J15" t="n">
        <v>0</v>
      </c>
      <c r="L15" t="n">
        <v>14</v>
      </c>
      <c r="M15" t="n">
        <v>5</v>
      </c>
      <c r="N15" t="n">
        <v>5</v>
      </c>
      <c r="O15" t="inlineStr">
        <is>
          <t xml:space="preserve">made_to_order</t>
        </is>
      </c>
      <c r="P15" t="inlineStr">
        <is>
          <t xml:space="preserve">width:50 · height:85 · depth:50</t>
        </is>
      </c>
      <c r="R15" t="inlineStr">
        <is>
          <t xml:space="preserve">صندلی میز تحریر</t>
        </is>
      </c>
      <c r="X15" t="n">
        <v>0</v>
      </c>
    </row>
    <row r="16" ht="48" customHeight="1">
      <c r="B16" t="n">
        <v>564</v>
      </c>
      <c r="C16" t="inlineStr">
        <is>
          <t xml:space="preserve">draft</t>
        </is>
      </c>
      <c r="D16" t="inlineStr">
        <is>
          <t xml:space="preserve">اسکیت</t>
        </is>
      </c>
      <c r="F16" t="inlineStr">
        <is>
          <t xml:space="preserve">آینه قدی اسکیت</t>
        </is>
      </c>
      <c r="G16" t="inlineStr">
        <is>
          <t xml:space="preserve">skate-standing-mirror</t>
        </is>
      </c>
      <c r="H16" t="inlineStr">
        <is>
          <t xml:space="preserve">skate-standing-mirror</t>
        </is>
      </c>
      <c r="I16" t="inlineStr">
        <is>
          <t xml:space="preserve">baby, teen</t>
        </is>
      </c>
      <c r="J16" t="n">
        <v>338720000</v>
      </c>
      <c r="L16" t="n">
        <v>14</v>
      </c>
      <c r="M16" t="n">
        <v>5</v>
      </c>
      <c r="N16" t="n">
        <v>5</v>
      </c>
      <c r="O16" t="inlineStr">
        <is>
          <t xml:space="preserve">in_stock</t>
        </is>
      </c>
      <c r="P16" t="inlineStr">
        <is>
          <t xml:space="preserve">width:60 · height:180 · depth:5</t>
        </is>
      </c>
      <c r="R16" t="inlineStr">
        <is>
          <t xml:space="preserve">آینه قدی</t>
        </is>
      </c>
      <c r="X16" t="n">
        <v>0</v>
      </c>
    </row>
    <row r="17" ht="48" customHeight="1">
      <c r="A17">
        <f>IMAGE("http://80.240.31.146:3000/_next/image?url=%2Fapi%2Fmedia%2Ffile%2Fskate-single-bed-100.webp&amp;w=256&amp;q=75",4,60,80)</f>
      </c>
      <c r="B17" t="n">
        <v>563</v>
      </c>
      <c r="C17" t="inlineStr">
        <is>
          <t xml:space="preserve">published</t>
        </is>
      </c>
      <c r="D17" t="inlineStr">
        <is>
          <t xml:space="preserve">اسکیت</t>
        </is>
      </c>
      <c r="F17" t="inlineStr">
        <is>
          <t xml:space="preserve">تخت یک نفره اسکیت</t>
        </is>
      </c>
      <c r="G17" t="inlineStr">
        <is>
          <t xml:space="preserve">skate-single-bed</t>
        </is>
      </c>
      <c r="H17" t="inlineStr">
        <is>
          <t xml:space="preserve">skate-single-bed</t>
        </is>
      </c>
      <c r="I17" t="inlineStr">
        <is>
          <t xml:space="preserve">baby, teen</t>
        </is>
      </c>
      <c r="J17" t="n">
        <v>366040000</v>
      </c>
      <c r="L17" t="n">
        <v>14</v>
      </c>
      <c r="M17" t="n">
        <v>5</v>
      </c>
      <c r="N17" t="n">
        <v>5</v>
      </c>
      <c r="O17" t="inlineStr">
        <is>
          <t xml:space="preserve">in_stock</t>
        </is>
      </c>
      <c r="P17" t="inlineStr">
        <is>
          <t xml:space="preserve">width:100 · height:110 · depth:210</t>
        </is>
      </c>
      <c r="R17" t="inlineStr">
        <is>
          <t xml:space="preserve">تخت یک نفره</t>
        </is>
      </c>
      <c r="X17" t="n">
        <v>1</v>
      </c>
      <c r="Y17" t="inlineStr">
        <is>
          <t xml:space="preserve">skate-single-bed-100.webp</t>
        </is>
      </c>
      <c r="Z17" t="inlineStr">
        <is>
          <t xml:space="preserve">http://80.240.31.146:3000/api/media/file/skate-single-bed-100.webp</t>
        </is>
      </c>
    </row>
    <row r="18" ht="48" customHeight="1">
      <c r="A18">
        <f>IMAGE("http://80.240.31.146:3000/_next/image?url=%2Fapi%2Fmedia%2Ffile%2Fskate-nightstand.webp&amp;w=256&amp;q=75",4,60,80)</f>
      </c>
      <c r="B18" t="n">
        <v>562</v>
      </c>
      <c r="C18" t="inlineStr">
        <is>
          <t xml:space="preserve">published</t>
        </is>
      </c>
      <c r="D18" t="inlineStr">
        <is>
          <t xml:space="preserve">اسکیت</t>
        </is>
      </c>
      <c r="F18" t="inlineStr">
        <is>
          <t xml:space="preserve">پاتختی اسکیت</t>
        </is>
      </c>
      <c r="G18" t="inlineStr">
        <is>
          <t xml:space="preserve">skate-nightstand</t>
        </is>
      </c>
      <c r="H18" t="inlineStr">
        <is>
          <t xml:space="preserve">skate-nightstand</t>
        </is>
      </c>
      <c r="I18" t="inlineStr">
        <is>
          <t xml:space="preserve">baby, teen</t>
        </is>
      </c>
      <c r="J18" t="n">
        <v>184180000</v>
      </c>
      <c r="L18" t="n">
        <v>14</v>
      </c>
      <c r="M18" t="n">
        <v>5</v>
      </c>
      <c r="N18" t="n">
        <v>5</v>
      </c>
      <c r="O18" t="inlineStr">
        <is>
          <t xml:space="preserve">in_stock</t>
        </is>
      </c>
      <c r="P18" t="inlineStr">
        <is>
          <t xml:space="preserve">width:50 · height:55 · depth:40</t>
        </is>
      </c>
      <c r="R18" t="inlineStr">
        <is>
          <t xml:space="preserve">پاتختی</t>
        </is>
      </c>
      <c r="X18" t="n">
        <v>1</v>
      </c>
      <c r="Y18" t="inlineStr">
        <is>
          <t xml:space="preserve">skate-nightstand.webp</t>
        </is>
      </c>
      <c r="Z18" t="inlineStr">
        <is>
          <t xml:space="preserve">http://80.240.31.146:3000/api/media/file/skate-nightstand.webp</t>
        </is>
      </c>
    </row>
    <row r="19" ht="48" customHeight="1">
      <c r="B19" t="n">
        <v>561</v>
      </c>
      <c r="C19" t="inlineStr">
        <is>
          <t xml:space="preserve">draft</t>
        </is>
      </c>
      <c r="D19" t="inlineStr">
        <is>
          <t xml:space="preserve">اسکیت</t>
        </is>
      </c>
      <c r="F19" t="inlineStr">
        <is>
          <t xml:space="preserve">تخت نوزاد دومنظوره اسکیت</t>
        </is>
      </c>
      <c r="G19" t="inlineStr">
        <is>
          <t xml:space="preserve">skate-convertible-bed</t>
        </is>
      </c>
      <c r="H19" t="inlineStr">
        <is>
          <t xml:space="preserve">skate-convertible-bed</t>
        </is>
      </c>
      <c r="I19" t="inlineStr">
        <is>
          <t xml:space="preserve">baby, teen</t>
        </is>
      </c>
      <c r="J19" t="n">
        <v>0</v>
      </c>
      <c r="L19" t="n">
        <v>14</v>
      </c>
      <c r="M19" t="n">
        <v>5</v>
      </c>
      <c r="N19" t="n">
        <v>5</v>
      </c>
      <c r="O19" t="inlineStr">
        <is>
          <t xml:space="preserve">made_to_order</t>
        </is>
      </c>
      <c r="P19" t="inlineStr">
        <is>
          <t xml:space="preserve">width:90 · height:105 · depth:195</t>
        </is>
      </c>
      <c r="R19" t="inlineStr">
        <is>
          <t xml:space="preserve">تخت نوزاد دومظوره (نوزاد نوجوان، کاناپه ای)</t>
        </is>
      </c>
      <c r="X19" t="n">
        <v>0</v>
      </c>
    </row>
    <row r="20" ht="48" customHeight="1">
      <c r="A20">
        <f>IMAGE("http://80.240.31.146:3000/_next/image?url=%2Fapi%2Fmedia%2Ffile%2Fskate-bookcase-1-drawer.webp&amp;w=256&amp;q=75",4,60,80)</f>
      </c>
      <c r="B20" t="n">
        <v>560</v>
      </c>
      <c r="C20" t="inlineStr">
        <is>
          <t xml:space="preserve">published</t>
        </is>
      </c>
      <c r="D20" t="inlineStr">
        <is>
          <t xml:space="preserve">اسکیت</t>
        </is>
      </c>
      <c r="F20" t="inlineStr">
        <is>
          <t xml:space="preserve">کتابخانه اسکیت</t>
        </is>
      </c>
      <c r="G20" t="inlineStr">
        <is>
          <t xml:space="preserve">skate-bookcase</t>
        </is>
      </c>
      <c r="H20" t="inlineStr">
        <is>
          <t xml:space="preserve">skate-bookcase</t>
        </is>
      </c>
      <c r="I20" t="inlineStr">
        <is>
          <t xml:space="preserve">baby, teen</t>
        </is>
      </c>
      <c r="J20" t="n">
        <v>192290000</v>
      </c>
      <c r="L20" t="n">
        <v>14</v>
      </c>
      <c r="M20" t="n">
        <v>5</v>
      </c>
      <c r="N20" t="n">
        <v>5</v>
      </c>
      <c r="O20" t="inlineStr">
        <is>
          <t xml:space="preserve">in_stock</t>
        </is>
      </c>
      <c r="P20" t="inlineStr">
        <is>
          <t xml:space="preserve">width:80 · height:200 · depth:35</t>
        </is>
      </c>
      <c r="R20" t="inlineStr">
        <is>
          <t xml:space="preserve">کتابخانه</t>
        </is>
      </c>
      <c r="X20" t="n">
        <v>2</v>
      </c>
      <c r="Y20" t="inlineStr">
        <is>
          <t xml:space="preserve">skate-bookcase-1-drawer.webp; skate-bookcase.webp</t>
        </is>
      </c>
      <c r="Z20" t="inlineStr">
        <is>
          <t xml:space="preserve">http://80.240.31.146:3000/api/media/file/skate-bookcase-1-drawer.webp; http://80.240.31.146:3000/api/media/file/skate-bookcase.webp</t>
        </is>
      </c>
    </row>
    <row r="21" ht="48" customHeight="1">
      <c r="A21">
        <f>IMAGE("http://80.240.31.146:3000/_next/image?url=%2Fapi%2Fmedia%2Ffile%2Fshaylin-vanity-chair-picture-v2.webp&amp;w=256&amp;q=75",4,60,80)</f>
      </c>
      <c r="B21" t="n">
        <v>559</v>
      </c>
      <c r="C21" t="inlineStr">
        <is>
          <t xml:space="preserve">published</t>
        </is>
      </c>
      <c r="D21" t="inlineStr">
        <is>
          <t xml:space="preserve">شایلین</t>
        </is>
      </c>
      <c r="F21" t="inlineStr">
        <is>
          <t xml:space="preserve">صندلی میز آرایش شایلین</t>
        </is>
      </c>
      <c r="G21" t="inlineStr">
        <is>
          <t xml:space="preserve">shaylin-vanity-chair</t>
        </is>
      </c>
      <c r="H21" t="inlineStr">
        <is>
          <t xml:space="preserve">shaylin-vanity-chair</t>
        </is>
      </c>
      <c r="I21" t="inlineStr">
        <is>
          <t xml:space="preserve">double</t>
        </is>
      </c>
      <c r="J21" t="n">
        <v>173190000</v>
      </c>
      <c r="L21" t="n">
        <v>14</v>
      </c>
      <c r="M21" t="n">
        <v>5</v>
      </c>
      <c r="N21" t="n">
        <v>5</v>
      </c>
      <c r="O21" t="inlineStr">
        <is>
          <t xml:space="preserve">in_stock</t>
        </is>
      </c>
      <c r="P21" t="inlineStr">
        <is>
          <t xml:space="preserve">width:100 · height:78 · depth:45</t>
        </is>
      </c>
      <c r="R21" t="inlineStr">
        <is>
          <t xml:space="preserve">صندلی میز آرایش</t>
        </is>
      </c>
      <c r="X21" t="n">
        <v>2</v>
      </c>
      <c r="Y21" t="inlineStr">
        <is>
          <t xml:space="preserve">shaylin-vanity-chair-picture-v2.webp; shaylin-vanity-chair-picture.webp</t>
        </is>
      </c>
      <c r="Z21" t="inlineStr">
        <is>
          <t xml:space="preserve">http://80.240.31.146:3000/api/media/file/shaylin-vanity-chair-picture-v2.webp; http://80.240.31.146:3000/api/media/file/shaylin-vanity-chair-picture.webp</t>
        </is>
      </c>
    </row>
    <row r="22" ht="48" customHeight="1">
      <c r="A22">
        <f>IMAGE("http://80.240.31.146:3000/_next/image?url=%2Fapi%2Fmedia%2Ffile%2Fshaylin-vanity-3-drawers-picture.webp&amp;w=256&amp;q=75",4,60,80)</f>
      </c>
      <c r="B22" t="n">
        <v>558</v>
      </c>
      <c r="C22" t="inlineStr">
        <is>
          <t xml:space="preserve">published</t>
        </is>
      </c>
      <c r="D22" t="inlineStr">
        <is>
          <t xml:space="preserve">شایلین</t>
        </is>
      </c>
      <c r="F22" t="inlineStr">
        <is>
          <t xml:space="preserve">میز آرایش شایلین</t>
        </is>
      </c>
      <c r="G22" t="inlineStr">
        <is>
          <t xml:space="preserve">shaylin-vanity</t>
        </is>
      </c>
      <c r="H22" t="inlineStr">
        <is>
          <t xml:space="preserve">shaylin-vanity</t>
        </is>
      </c>
      <c r="I22" t="inlineStr">
        <is>
          <t xml:space="preserve">double</t>
        </is>
      </c>
      <c r="J22" t="n">
        <v>604320000</v>
      </c>
      <c r="L22" t="n">
        <v>14</v>
      </c>
      <c r="M22" t="n">
        <v>5</v>
      </c>
      <c r="N22" t="n">
        <v>5</v>
      </c>
      <c r="O22" t="inlineStr">
        <is>
          <t xml:space="preserve">in_stock</t>
        </is>
      </c>
      <c r="P22" t="inlineStr">
        <is>
          <t xml:space="preserve">width:100 · height:78 · depth:45</t>
        </is>
      </c>
      <c r="R22" t="inlineStr">
        <is>
          <t xml:space="preserve">میز آرایش</t>
        </is>
      </c>
      <c r="X22" t="n">
        <v>3</v>
      </c>
      <c r="Y22" t="inlineStr">
        <is>
          <t xml:space="preserve">shaylin-vanity-3-drawers-picture.webp; shaylin-vanity-chair-picture-v2.webp; shaylin-vanity-chair-picture.webp</t>
        </is>
      </c>
      <c r="Z22" t="inlineStr">
        <is>
          <t xml:space="preserve">http://80.240.31.146:3000/api/media/file/shaylin-vanity-3-drawers-picture.webp; http://80.240.31.146:3000/api/media/file/shaylin-vanity-chair-picture-v2.webp; http://80.240.31.146:3000/api/media/file/shaylin-vanity-chair-picture.webp</t>
        </is>
      </c>
    </row>
    <row r="23" ht="48" customHeight="1">
      <c r="A23">
        <f>IMAGE("http://80.240.31.146:3000/_next/image?url=%2Fapi%2Fmedia%2Ffile%2Fshaylin-table-mirror-3-pieces-picture.webp&amp;w=256&amp;q=75",4,60,80)</f>
      </c>
      <c r="B23" t="n">
        <v>557</v>
      </c>
      <c r="C23" t="inlineStr">
        <is>
          <t xml:space="preserve">published</t>
        </is>
      </c>
      <c r="D23" t="inlineStr">
        <is>
          <t xml:space="preserve">شایلین</t>
        </is>
      </c>
      <c r="F23" t="inlineStr">
        <is>
          <t xml:space="preserve">آینه رومیزی شایلین</t>
        </is>
      </c>
      <c r="G23" t="inlineStr">
        <is>
          <t xml:space="preserve">shaylin-table-mirror</t>
        </is>
      </c>
      <c r="H23" t="inlineStr">
        <is>
          <t xml:space="preserve">shaylin-table-mirror</t>
        </is>
      </c>
      <c r="I23" t="inlineStr">
        <is>
          <t xml:space="preserve">double</t>
        </is>
      </c>
      <c r="J23" t="n">
        <v>595780000</v>
      </c>
      <c r="L23" t="n">
        <v>14</v>
      </c>
      <c r="M23" t="n">
        <v>5</v>
      </c>
      <c r="N23" t="n">
        <v>5</v>
      </c>
      <c r="O23" t="inlineStr">
        <is>
          <t xml:space="preserve">in_stock</t>
        </is>
      </c>
      <c r="P23" t="inlineStr">
        <is>
          <t xml:space="preserve">width:60 · height:70 · depth:5</t>
        </is>
      </c>
      <c r="R23" t="inlineStr">
        <is>
          <t xml:space="preserve">آینه رومیزی</t>
        </is>
      </c>
      <c r="X23" t="n">
        <v>1</v>
      </c>
      <c r="Y23" t="inlineStr">
        <is>
          <t xml:space="preserve">shaylin-table-mirror-3-pieces-picture.webp</t>
        </is>
      </c>
      <c r="Z23" t="inlineStr">
        <is>
          <t xml:space="preserve">http://80.240.31.146:3000/api/media/file/shaylin-table-mirror-3-pieces-picture.webp</t>
        </is>
      </c>
    </row>
    <row r="24" ht="48" customHeight="1">
      <c r="A24">
        <f>IMAGE("http://80.240.31.146:3000/_next/image?url=%2Fapi%2Fmedia%2Ffile%2Fshaylin-standing-mirror-picture.webp&amp;w=256&amp;q=75",4,60,80)</f>
      </c>
      <c r="B24" t="n">
        <v>556</v>
      </c>
      <c r="C24" t="inlineStr">
        <is>
          <t xml:space="preserve">published</t>
        </is>
      </c>
      <c r="D24" t="inlineStr">
        <is>
          <t xml:space="preserve">شایلین</t>
        </is>
      </c>
      <c r="F24" t="inlineStr">
        <is>
          <t xml:space="preserve">آینه قدی شایلین</t>
        </is>
      </c>
      <c r="G24" t="inlineStr">
        <is>
          <t xml:space="preserve">shaylin-standing-mirror</t>
        </is>
      </c>
      <c r="H24" t="inlineStr">
        <is>
          <t xml:space="preserve">shaylin-standing-mirror</t>
        </is>
      </c>
      <c r="I24" t="inlineStr">
        <is>
          <t xml:space="preserve">double</t>
        </is>
      </c>
      <c r="J24" t="n">
        <v>715410000</v>
      </c>
      <c r="L24" t="n">
        <v>14</v>
      </c>
      <c r="M24" t="n">
        <v>5</v>
      </c>
      <c r="N24" t="n">
        <v>5</v>
      </c>
      <c r="O24" t="inlineStr">
        <is>
          <t xml:space="preserve">in_stock</t>
        </is>
      </c>
      <c r="P24" t="inlineStr">
        <is>
          <t xml:space="preserve">width:60 · height:180 · depth:5</t>
        </is>
      </c>
      <c r="R24" t="inlineStr">
        <is>
          <t xml:space="preserve">آینه قدی</t>
        </is>
      </c>
      <c r="X24" t="n">
        <v>1</v>
      </c>
      <c r="Y24" t="inlineStr">
        <is>
          <t xml:space="preserve">shaylin-standing-mirror-picture.webp</t>
        </is>
      </c>
      <c r="Z24" t="inlineStr">
        <is>
          <t xml:space="preserve">http://80.240.31.146:3000/api/media/file/shaylin-standing-mirror-picture.webp</t>
        </is>
      </c>
    </row>
    <row r="25" ht="48" customHeight="1">
      <c r="A25">
        <f>IMAGE("http://80.240.31.146:3000/_next/image?url=%2Fapi%2Fmedia%2Ffile%2Fshaylin-nightstand-picture.webp&amp;w=256&amp;q=75",4,60,80)</f>
      </c>
      <c r="B25" t="n">
        <v>555</v>
      </c>
      <c r="C25" t="inlineStr">
        <is>
          <t xml:space="preserve">published</t>
        </is>
      </c>
      <c r="D25" t="inlineStr">
        <is>
          <t xml:space="preserve">شایلین</t>
        </is>
      </c>
      <c r="F25" t="inlineStr">
        <is>
          <t xml:space="preserve">پاتختی شایلین</t>
        </is>
      </c>
      <c r="G25" t="inlineStr">
        <is>
          <t xml:space="preserve">shaylin-nightstand</t>
        </is>
      </c>
      <c r="H25" t="inlineStr">
        <is>
          <t xml:space="preserve">shaylin-nightstand</t>
        </is>
      </c>
      <c r="I25" t="inlineStr">
        <is>
          <t xml:space="preserve">double</t>
        </is>
      </c>
      <c r="J25" t="n">
        <v>417790000</v>
      </c>
      <c r="L25" t="n">
        <v>14</v>
      </c>
      <c r="M25" t="n">
        <v>5</v>
      </c>
      <c r="N25" t="n">
        <v>5</v>
      </c>
      <c r="O25" t="inlineStr">
        <is>
          <t xml:space="preserve">in_stock</t>
        </is>
      </c>
      <c r="P25" t="inlineStr">
        <is>
          <t xml:space="preserve">width:50 · height:55 · depth:40</t>
        </is>
      </c>
      <c r="R25" t="inlineStr">
        <is>
          <t xml:space="preserve">پاتختی</t>
        </is>
      </c>
      <c r="X25" t="n">
        <v>1</v>
      </c>
      <c r="Y25" t="inlineStr">
        <is>
          <t xml:space="preserve">shaylin-nightstand-picture.webp</t>
        </is>
      </c>
      <c r="Z25" t="inlineStr">
        <is>
          <t xml:space="preserve">http://80.240.31.146:3000/api/media/file/shaylin-nightstand-picture.webp</t>
        </is>
      </c>
    </row>
    <row r="26" ht="48" customHeight="1">
      <c r="A26">
        <f>IMAGE("http://80.240.31.146:3000/_next/image?url=%2Fapi%2Fmedia%2Ffile%2Fshaylin-loveseat-picture.webp&amp;w=256&amp;q=75",4,60,80)</f>
      </c>
      <c r="B26" t="n">
        <v>554</v>
      </c>
      <c r="C26" t="inlineStr">
        <is>
          <t xml:space="preserve">published</t>
        </is>
      </c>
      <c r="D26" t="inlineStr">
        <is>
          <t xml:space="preserve">شایلین</t>
        </is>
      </c>
      <c r="F26" t="inlineStr">
        <is>
          <t xml:space="preserve">لاوست شایلین</t>
        </is>
      </c>
      <c r="G26" t="inlineStr">
        <is>
          <t xml:space="preserve">shaylin-loveseat</t>
        </is>
      </c>
      <c r="H26" t="inlineStr">
        <is>
          <t xml:space="preserve">shaylin-loveseat</t>
        </is>
      </c>
      <c r="I26" t="inlineStr">
        <is>
          <t xml:space="preserve">double</t>
        </is>
      </c>
      <c r="J26" t="n">
        <v>457100000</v>
      </c>
      <c r="L26" t="n">
        <v>14</v>
      </c>
      <c r="M26" t="n">
        <v>5</v>
      </c>
      <c r="N26" t="n">
        <v>5</v>
      </c>
      <c r="O26" t="inlineStr">
        <is>
          <t xml:space="preserve">in_stock</t>
        </is>
      </c>
      <c r="P26" t="inlineStr">
        <is>
          <t xml:space="preserve">width:140 · height:80 · depth:70</t>
        </is>
      </c>
      <c r="R26" t="inlineStr">
        <is>
          <t xml:space="preserve">لاوست</t>
        </is>
      </c>
      <c r="X26" t="n">
        <v>1</v>
      </c>
      <c r="Y26" t="inlineStr">
        <is>
          <t xml:space="preserve">shaylin-loveseat-picture.webp</t>
        </is>
      </c>
      <c r="Z26" t="inlineStr">
        <is>
          <t xml:space="preserve">http://80.240.31.146:3000/api/media/file/shaylin-loveseat-picture.webp</t>
        </is>
      </c>
    </row>
    <row r="27" ht="48" customHeight="1">
      <c r="A27">
        <f>IMAGE("http://80.240.31.146:3000/_next/image?url=%2Fapi%2Fmedia%2Ffile%2Fshaylin-file-5-drawers-picture.webp&amp;w=256&amp;q=75",4,60,80)</f>
      </c>
      <c r="B27" t="n">
        <v>553</v>
      </c>
      <c r="C27" t="inlineStr">
        <is>
          <t xml:space="preserve">published</t>
        </is>
      </c>
      <c r="D27" t="inlineStr">
        <is>
          <t xml:space="preserve">شایلین</t>
        </is>
      </c>
      <c r="F27" t="inlineStr">
        <is>
          <t xml:space="preserve">فایل شایلین</t>
        </is>
      </c>
      <c r="G27" t="inlineStr">
        <is>
          <t xml:space="preserve">shaylin-file</t>
        </is>
      </c>
      <c r="H27" t="inlineStr">
        <is>
          <t xml:space="preserve">shaylin-file</t>
        </is>
      </c>
      <c r="I27" t="inlineStr">
        <is>
          <t xml:space="preserve">double</t>
        </is>
      </c>
      <c r="J27" t="n">
        <v>1202610000</v>
      </c>
      <c r="L27" t="n">
        <v>14</v>
      </c>
      <c r="M27" t="n">
        <v>5</v>
      </c>
      <c r="N27" t="n">
        <v>5</v>
      </c>
      <c r="O27" t="inlineStr">
        <is>
          <t xml:space="preserve">in_stock</t>
        </is>
      </c>
      <c r="P27" t="inlineStr">
        <is>
          <t xml:space="preserve">width:45 · height:120 · depth:50</t>
        </is>
      </c>
      <c r="R27" t="inlineStr">
        <is>
          <t xml:space="preserve">فایل</t>
        </is>
      </c>
      <c r="X27" t="n">
        <v>1</v>
      </c>
      <c r="Y27" t="inlineStr">
        <is>
          <t xml:space="preserve">shaylin-file-5-drawers-picture.webp</t>
        </is>
      </c>
      <c r="Z27" t="inlineStr">
        <is>
          <t xml:space="preserve">http://80.240.31.146:3000/api/media/file/shaylin-file-5-drawers-picture.webp</t>
        </is>
      </c>
    </row>
    <row r="28" ht="48" customHeight="1">
      <c r="A28">
        <f>IMAGE("http://80.240.31.146:3000/_next/image?url=%2Fapi%2Fmedia%2Ffile%2Fshaylin-double-bed-160-picture.webp&amp;w=256&amp;q=75",4,60,80)</f>
      </c>
      <c r="B28" t="n">
        <v>552</v>
      </c>
      <c r="C28" t="inlineStr">
        <is>
          <t xml:space="preserve">published</t>
        </is>
      </c>
      <c r="D28" t="inlineStr">
        <is>
          <t xml:space="preserve">شایلین</t>
        </is>
      </c>
      <c r="F28" t="inlineStr">
        <is>
          <t xml:space="preserve">تخت دونفره شایلین</t>
        </is>
      </c>
      <c r="G28" t="inlineStr">
        <is>
          <t xml:space="preserve">shaylin-double-bed</t>
        </is>
      </c>
      <c r="H28" t="inlineStr">
        <is>
          <t xml:space="preserve">shaylin-double-bed</t>
        </is>
      </c>
      <c r="I28" t="inlineStr">
        <is>
          <t xml:space="preserve">double</t>
        </is>
      </c>
      <c r="J28" t="n">
        <v>1531780000</v>
      </c>
      <c r="L28" t="n">
        <v>14</v>
      </c>
      <c r="M28" t="n">
        <v>5</v>
      </c>
      <c r="N28" t="n">
        <v>5</v>
      </c>
      <c r="O28" t="inlineStr">
        <is>
          <t xml:space="preserve">in_stock</t>
        </is>
      </c>
      <c r="P28" t="inlineStr">
        <is>
          <t xml:space="preserve">width:160 · height:110 · depth:215</t>
        </is>
      </c>
      <c r="R28" t="inlineStr">
        <is>
          <t xml:space="preserve">تخت دونفره</t>
        </is>
      </c>
      <c r="X28" t="n">
        <v>1</v>
      </c>
      <c r="Y28" t="inlineStr">
        <is>
          <t xml:space="preserve">shaylin-double-bed-160-picture.webp</t>
        </is>
      </c>
      <c r="Z28" t="inlineStr">
        <is>
          <t xml:space="preserve">http://80.240.31.146:3000/api/media/file/shaylin-double-bed-160-picture.webp</t>
        </is>
      </c>
    </row>
    <row r="29" ht="48" customHeight="1">
      <c r="A29">
        <f>IMAGE("http://80.240.31.146:3000/_next/image?url=%2Fapi%2Fmedia%2Ffile%2Fsento-wardrobe-2-doors-mdf.webp&amp;w=256&amp;q=75",4,60,80)</f>
      </c>
      <c r="B29" t="n">
        <v>551</v>
      </c>
      <c r="C29" t="inlineStr">
        <is>
          <t xml:space="preserve">published</t>
        </is>
      </c>
      <c r="D29" t="inlineStr">
        <is>
          <t xml:space="preserve">سنتو</t>
        </is>
      </c>
      <c r="F29" t="inlineStr">
        <is>
          <t xml:space="preserve">کمد سنتو</t>
        </is>
      </c>
      <c r="G29" t="inlineStr">
        <is>
          <t xml:space="preserve">sento-wardrobe</t>
        </is>
      </c>
      <c r="H29" t="inlineStr">
        <is>
          <t xml:space="preserve">sento-wardrobe</t>
        </is>
      </c>
      <c r="I29" t="inlineStr">
        <is>
          <t xml:space="preserve">baby, double, teen</t>
        </is>
      </c>
      <c r="J29" t="n">
        <v>784110000</v>
      </c>
      <c r="L29" t="n">
        <v>14</v>
      </c>
      <c r="M29" t="n">
        <v>5</v>
      </c>
      <c r="N29" t="n">
        <v>5</v>
      </c>
      <c r="O29" t="inlineStr">
        <is>
          <t xml:space="preserve">in_stock</t>
        </is>
      </c>
      <c r="P29" t="inlineStr">
        <is>
          <t xml:space="preserve">width:120 · height:220 · depth:60</t>
        </is>
      </c>
      <c r="R29" t="inlineStr">
        <is>
          <t xml:space="preserve">کمد</t>
        </is>
      </c>
      <c r="X29" t="n">
        <v>2</v>
      </c>
      <c r="Y29" t="inlineStr">
        <is>
          <t xml:space="preserve">sento-wardrobe-2-doors-mdf.webp; sento-wardrobe-3-doors-mdf.webp</t>
        </is>
      </c>
      <c r="Z29" t="inlineStr">
        <is>
          <t xml:space="preserve">http://80.240.31.146:3000/api/media/file/sento-wardrobe-2-doors-mdf.webp; http://80.240.31.146:3000/api/media/file/sento-wardrobe-3-doors-mdf.webp</t>
        </is>
      </c>
    </row>
    <row r="30" ht="48" customHeight="1">
      <c r="A30">
        <f>IMAGE("http://80.240.31.146:3000/_next/image?url=%2Fapi%2Fmedia%2Ffile%2Fsento-wall-shelf.webp&amp;w=256&amp;q=75",4,60,80)</f>
      </c>
      <c r="B30" t="n">
        <v>550</v>
      </c>
      <c r="C30" t="inlineStr">
        <is>
          <t xml:space="preserve">published</t>
        </is>
      </c>
      <c r="D30" t="inlineStr">
        <is>
          <t xml:space="preserve">سنتو</t>
        </is>
      </c>
      <c r="F30" t="inlineStr">
        <is>
          <t xml:space="preserve">شلف دیواری سنتو</t>
        </is>
      </c>
      <c r="G30" t="inlineStr">
        <is>
          <t xml:space="preserve">sento-wall-shelf</t>
        </is>
      </c>
      <c r="H30" t="inlineStr">
        <is>
          <t xml:space="preserve">sento-wall-shelf</t>
        </is>
      </c>
      <c r="I30" t="inlineStr">
        <is>
          <t xml:space="preserve">baby, double, teen</t>
        </is>
      </c>
      <c r="J30" t="n">
        <v>66780000</v>
      </c>
      <c r="L30" t="n">
        <v>14</v>
      </c>
      <c r="M30" t="n">
        <v>5</v>
      </c>
      <c r="N30" t="n">
        <v>5</v>
      </c>
      <c r="O30" t="inlineStr">
        <is>
          <t xml:space="preserve">in_stock</t>
        </is>
      </c>
      <c r="P30" t="inlineStr">
        <is>
          <t xml:space="preserve">width:80 · height:25 · depth:25</t>
        </is>
      </c>
      <c r="R30" t="inlineStr">
        <is>
          <t xml:space="preserve">شلف دیواری (براکت)</t>
        </is>
      </c>
      <c r="X30" t="n">
        <v>1</v>
      </c>
      <c r="Y30" t="inlineStr">
        <is>
          <t xml:space="preserve">sento-wall-shelf.webp</t>
        </is>
      </c>
      <c r="Z30" t="inlineStr">
        <is>
          <t xml:space="preserve">http://80.240.31.146:3000/api/media/file/sento-wall-shelf.webp</t>
        </is>
      </c>
    </row>
    <row r="31" ht="48" customHeight="1">
      <c r="A31">
        <f>IMAGE("http://80.240.31.146:3000/_next/image?url=%2Fapi%2Fmedia%2Ffile%2Fsento-vanity-3-drawers-with-mirror.webp&amp;w=256&amp;q=75",4,60,80)</f>
      </c>
      <c r="B31" t="n">
        <v>549</v>
      </c>
      <c r="C31" t="inlineStr">
        <is>
          <t xml:space="preserve">published</t>
        </is>
      </c>
      <c r="D31" t="inlineStr">
        <is>
          <t xml:space="preserve">سنتو</t>
        </is>
      </c>
      <c r="F31" t="inlineStr">
        <is>
          <t xml:space="preserve">میز آرایش سنتو</t>
        </is>
      </c>
      <c r="G31" t="inlineStr">
        <is>
          <t xml:space="preserve">sento-vanity</t>
        </is>
      </c>
      <c r="H31" t="inlineStr">
        <is>
          <t xml:space="preserve">sento-vanity</t>
        </is>
      </c>
      <c r="I31" t="inlineStr">
        <is>
          <t xml:space="preserve">baby, double, teen</t>
        </is>
      </c>
      <c r="J31" t="n">
        <v>461690000</v>
      </c>
      <c r="L31" t="n">
        <v>14</v>
      </c>
      <c r="M31" t="n">
        <v>5</v>
      </c>
      <c r="N31" t="n">
        <v>5</v>
      </c>
      <c r="O31" t="inlineStr">
        <is>
          <t xml:space="preserve">in_stock</t>
        </is>
      </c>
      <c r="P31" t="inlineStr">
        <is>
          <t xml:space="preserve">width:100 · height:78 · depth:45</t>
        </is>
      </c>
      <c r="R31" t="inlineStr">
        <is>
          <t xml:space="preserve">میز آرایش</t>
        </is>
      </c>
      <c r="X31" t="n">
        <v>2</v>
      </c>
      <c r="Y31" t="inlineStr">
        <is>
          <t xml:space="preserve">sento-vanity-3-drawers-with-mirror.webp; sento-vanity-3-drawers.webp</t>
        </is>
      </c>
      <c r="Z31" t="inlineStr">
        <is>
          <t xml:space="preserve">http://80.240.31.146:3000/api/media/file/sento-vanity-3-drawers-with-mirror.webp; http://80.240.31.146:3000/api/media/file/sento-vanity-3-drawers.webp</t>
        </is>
      </c>
    </row>
    <row r="32" ht="48" customHeight="1">
      <c r="A32">
        <f>IMAGE("http://80.240.31.146:3000/_next/image?url=%2Fapi%2Fmedia%2Ffile%2Fsento-table-mirror.webp&amp;w=256&amp;q=75",4,60,80)</f>
      </c>
      <c r="B32" t="n">
        <v>548</v>
      </c>
      <c r="C32" t="inlineStr">
        <is>
          <t xml:space="preserve">published</t>
        </is>
      </c>
      <c r="D32" t="inlineStr">
        <is>
          <t xml:space="preserve">سنتو</t>
        </is>
      </c>
      <c r="F32" t="inlineStr">
        <is>
          <t xml:space="preserve">آینه رومیزی سنتو</t>
        </is>
      </c>
      <c r="G32" t="inlineStr">
        <is>
          <t xml:space="preserve">sento-table-mirror</t>
        </is>
      </c>
      <c r="H32" t="inlineStr">
        <is>
          <t xml:space="preserve">sento-table-mirror</t>
        </is>
      </c>
      <c r="I32" t="inlineStr">
        <is>
          <t xml:space="preserve">baby, double, teen</t>
        </is>
      </c>
      <c r="J32" t="n">
        <v>227970000</v>
      </c>
      <c r="L32" t="n">
        <v>14</v>
      </c>
      <c r="M32" t="n">
        <v>5</v>
      </c>
      <c r="N32" t="n">
        <v>5</v>
      </c>
      <c r="O32" t="inlineStr">
        <is>
          <t xml:space="preserve">in_stock</t>
        </is>
      </c>
      <c r="P32" t="inlineStr">
        <is>
          <t xml:space="preserve">width:60 · height:70 · depth:5</t>
        </is>
      </c>
      <c r="R32" t="inlineStr">
        <is>
          <t xml:space="preserve">آینه رومیزی</t>
        </is>
      </c>
      <c r="X32" t="n">
        <v>1</v>
      </c>
      <c r="Y32" t="inlineStr">
        <is>
          <t xml:space="preserve">sento-table-mirror.webp</t>
        </is>
      </c>
      <c r="Z32" t="inlineStr">
        <is>
          <t xml:space="preserve">http://80.240.31.146:3000/api/media/file/sento-table-mirror.webp</t>
        </is>
      </c>
    </row>
    <row r="33" ht="48" customHeight="1">
      <c r="A33">
        <f>IMAGE("http://80.240.31.146:3000/_next/image?url=%2Fapi%2Fmedia%2Ffile%2Fsento-study-desk.webp&amp;w=256&amp;q=75",4,60,80)</f>
      </c>
      <c r="B33" t="n">
        <v>547</v>
      </c>
      <c r="C33" t="inlineStr">
        <is>
          <t xml:space="preserve">published</t>
        </is>
      </c>
      <c r="D33" t="inlineStr">
        <is>
          <t xml:space="preserve">سنتو</t>
        </is>
      </c>
      <c r="F33" t="inlineStr">
        <is>
          <t xml:space="preserve">میز تحریر سنتو</t>
        </is>
      </c>
      <c r="G33" t="inlineStr">
        <is>
          <t xml:space="preserve">sento-study-desk</t>
        </is>
      </c>
      <c r="H33" t="inlineStr">
        <is>
          <t xml:space="preserve">sento-study-desk</t>
        </is>
      </c>
      <c r="I33" t="inlineStr">
        <is>
          <t xml:space="preserve">baby, double, teen</t>
        </is>
      </c>
      <c r="J33" t="n">
        <v>701300000</v>
      </c>
      <c r="L33" t="n">
        <v>14</v>
      </c>
      <c r="M33" t="n">
        <v>5</v>
      </c>
      <c r="N33" t="n">
        <v>5</v>
      </c>
      <c r="O33" t="inlineStr">
        <is>
          <t xml:space="preserve">in_stock</t>
        </is>
      </c>
      <c r="P33" t="inlineStr">
        <is>
          <t xml:space="preserve">width:120 · height:75 · depth:60</t>
        </is>
      </c>
      <c r="R33" t="inlineStr">
        <is>
          <t xml:space="preserve">میز تحریر</t>
        </is>
      </c>
      <c r="X33" t="n">
        <v>1</v>
      </c>
      <c r="Y33" t="inlineStr">
        <is>
          <t xml:space="preserve">sento-study-desk.webp</t>
        </is>
      </c>
      <c r="Z33" t="inlineStr">
        <is>
          <t xml:space="preserve">http://80.240.31.146:3000/api/media/file/sento-study-desk.webp</t>
        </is>
      </c>
    </row>
    <row r="34" ht="48" customHeight="1">
      <c r="A34">
        <f>IMAGE("http://80.240.31.146:3000/_next/image?url=%2Fapi%2Fmedia%2Ffile%2Fsento-standing-mirror.webp&amp;w=256&amp;q=75",4,60,80)</f>
      </c>
      <c r="B34" t="n">
        <v>546</v>
      </c>
      <c r="C34" t="inlineStr">
        <is>
          <t xml:space="preserve">published</t>
        </is>
      </c>
      <c r="D34" t="inlineStr">
        <is>
          <t xml:space="preserve">سنتو</t>
        </is>
      </c>
      <c r="F34" t="inlineStr">
        <is>
          <t xml:space="preserve">آینه قدی سنتو</t>
        </is>
      </c>
      <c r="G34" t="inlineStr">
        <is>
          <t xml:space="preserve">sento-standing-mirror</t>
        </is>
      </c>
      <c r="H34" t="inlineStr">
        <is>
          <t xml:space="preserve">sento-standing-mirror</t>
        </is>
      </c>
      <c r="I34" t="inlineStr">
        <is>
          <t xml:space="preserve">baby, double, teen</t>
        </is>
      </c>
      <c r="J34" t="n">
        <v>286230000</v>
      </c>
      <c r="L34" t="n">
        <v>14</v>
      </c>
      <c r="M34" t="n">
        <v>5</v>
      </c>
      <c r="N34" t="n">
        <v>5</v>
      </c>
      <c r="O34" t="inlineStr">
        <is>
          <t xml:space="preserve">in_stock</t>
        </is>
      </c>
      <c r="P34" t="inlineStr">
        <is>
          <t xml:space="preserve">width:60 · height:180 · depth:5</t>
        </is>
      </c>
      <c r="R34" t="inlineStr">
        <is>
          <t xml:space="preserve">آینه قدی</t>
        </is>
      </c>
      <c r="X34" t="n">
        <v>1</v>
      </c>
      <c r="Y34" t="inlineStr">
        <is>
          <t xml:space="preserve">sento-standing-mirror.webp</t>
        </is>
      </c>
      <c r="Z34" t="inlineStr">
        <is>
          <t xml:space="preserve">http://80.240.31.146:3000/api/media/file/sento-standing-mirror.webp</t>
        </is>
      </c>
    </row>
    <row r="35" ht="48" customHeight="1">
      <c r="A35">
        <f>IMAGE("http://80.240.31.146:3000/_next/image?url=%2Fapi%2Fmedia%2Ffile%2Fsento-single-bed-100.webp&amp;w=256&amp;q=75",4,60,80)</f>
      </c>
      <c r="B35" t="n">
        <v>545</v>
      </c>
      <c r="C35" t="inlineStr">
        <is>
          <t xml:space="preserve">published</t>
        </is>
      </c>
      <c r="D35" t="inlineStr">
        <is>
          <t xml:space="preserve">سنتو</t>
        </is>
      </c>
      <c r="F35" t="inlineStr">
        <is>
          <t xml:space="preserve">تخت یک نفره سنتو</t>
        </is>
      </c>
      <c r="G35" t="inlineStr">
        <is>
          <t xml:space="preserve">sento-single-bed</t>
        </is>
      </c>
      <c r="H35" t="inlineStr">
        <is>
          <t xml:space="preserve">sento-single-bed</t>
        </is>
      </c>
      <c r="I35" t="inlineStr">
        <is>
          <t xml:space="preserve">baby, double, teen</t>
        </is>
      </c>
      <c r="J35" t="n">
        <v>458500000</v>
      </c>
      <c r="L35" t="n">
        <v>14</v>
      </c>
      <c r="M35" t="n">
        <v>5</v>
      </c>
      <c r="N35" t="n">
        <v>5</v>
      </c>
      <c r="O35" t="inlineStr">
        <is>
          <t xml:space="preserve">in_stock</t>
        </is>
      </c>
      <c r="P35" t="inlineStr">
        <is>
          <t xml:space="preserve">width:100 · height:110 · depth:210</t>
        </is>
      </c>
      <c r="R35" t="inlineStr">
        <is>
          <t xml:space="preserve">تخت یک نفره</t>
        </is>
      </c>
      <c r="X35" t="n">
        <v>2</v>
      </c>
      <c r="Y35" t="inlineStr">
        <is>
          <t xml:space="preserve">sento-single-bed-100.webp; sento-single-bed-120.webp</t>
        </is>
      </c>
      <c r="Z35" t="inlineStr">
        <is>
          <t xml:space="preserve">http://80.240.31.146:3000/api/media/file/sento-single-bed-100.webp; http://80.240.31.146:3000/api/media/file/sento-single-bed-120.webp</t>
        </is>
      </c>
    </row>
    <row r="36" ht="48" customHeight="1">
      <c r="B36" t="n">
        <v>544</v>
      </c>
      <c r="C36" t="inlineStr">
        <is>
          <t xml:space="preserve">draft</t>
        </is>
      </c>
      <c r="D36" t="inlineStr">
        <is>
          <t xml:space="preserve">سنتو</t>
        </is>
      </c>
      <c r="F36" t="inlineStr">
        <is>
          <t xml:space="preserve">پاتختی سنتو</t>
        </is>
      </c>
      <c r="G36" t="inlineStr">
        <is>
          <t xml:space="preserve">sento-nightstand</t>
        </is>
      </c>
      <c r="H36" t="inlineStr">
        <is>
          <t xml:space="preserve">sento-nightstand</t>
        </is>
      </c>
      <c r="I36" t="inlineStr">
        <is>
          <t xml:space="preserve">baby, double, teen</t>
        </is>
      </c>
      <c r="J36" t="n">
        <v>210130000</v>
      </c>
      <c r="L36" t="n">
        <v>14</v>
      </c>
      <c r="M36" t="n">
        <v>5</v>
      </c>
      <c r="N36" t="n">
        <v>5</v>
      </c>
      <c r="O36" t="inlineStr">
        <is>
          <t xml:space="preserve">in_stock</t>
        </is>
      </c>
      <c r="P36" t="inlineStr">
        <is>
          <t xml:space="preserve">width:50 · height:55 · depth:40</t>
        </is>
      </c>
      <c r="R36" t="inlineStr">
        <is>
          <t xml:space="preserve">پاتختی</t>
        </is>
      </c>
      <c r="X36" t="n">
        <v>0</v>
      </c>
    </row>
    <row r="37" ht="48" customHeight="1">
      <c r="A37">
        <f>IMAGE("http://80.240.31.146:3000/_next/image?url=%2Fapi%2Fmedia%2Ffile%2Fsento-file-5-drawers.webp&amp;w=256&amp;q=75",4,60,80)</f>
      </c>
      <c r="B37" t="n">
        <v>543</v>
      </c>
      <c r="C37" t="inlineStr">
        <is>
          <t xml:space="preserve">published</t>
        </is>
      </c>
      <c r="D37" t="inlineStr">
        <is>
          <t xml:space="preserve">سنتو</t>
        </is>
      </c>
      <c r="F37" t="inlineStr">
        <is>
          <t xml:space="preserve">فایل سنتو</t>
        </is>
      </c>
      <c r="G37" t="inlineStr">
        <is>
          <t xml:space="preserve">sento-file</t>
        </is>
      </c>
      <c r="H37" t="inlineStr">
        <is>
          <t xml:space="preserve">sento-file</t>
        </is>
      </c>
      <c r="I37" t="inlineStr">
        <is>
          <t xml:space="preserve">baby, double, teen</t>
        </is>
      </c>
      <c r="J37" t="n">
        <v>494750000</v>
      </c>
      <c r="L37" t="n">
        <v>14</v>
      </c>
      <c r="M37" t="n">
        <v>5</v>
      </c>
      <c r="N37" t="n">
        <v>5</v>
      </c>
      <c r="O37" t="inlineStr">
        <is>
          <t xml:space="preserve">in_stock</t>
        </is>
      </c>
      <c r="P37" t="inlineStr">
        <is>
          <t xml:space="preserve">width:45 · height:120 · depth:50</t>
        </is>
      </c>
      <c r="R37" t="inlineStr">
        <is>
          <t xml:space="preserve">فایل</t>
        </is>
      </c>
      <c r="X37" t="n">
        <v>2</v>
      </c>
      <c r="Y37" t="inlineStr">
        <is>
          <t xml:space="preserve">sento-file-5-drawers.webp; sento-file-6-drawers.webp</t>
        </is>
      </c>
      <c r="Z37" t="inlineStr">
        <is>
          <t xml:space="preserve">http://80.240.31.146:3000/api/media/file/sento-file-5-drawers.webp; http://80.240.31.146:3000/api/media/file/sento-file-6-drawers.webp</t>
        </is>
      </c>
    </row>
    <row r="38" ht="48" customHeight="1">
      <c r="B38" t="n">
        <v>542</v>
      </c>
      <c r="C38" t="inlineStr">
        <is>
          <t xml:space="preserve">draft</t>
        </is>
      </c>
      <c r="D38" t="inlineStr">
        <is>
          <t xml:space="preserve">سنتو</t>
        </is>
      </c>
      <c r="F38" t="inlineStr">
        <is>
          <t xml:space="preserve">تخت دونفره سنتو</t>
        </is>
      </c>
      <c r="G38" t="inlineStr">
        <is>
          <t xml:space="preserve">sento-double-bed</t>
        </is>
      </c>
      <c r="H38" t="inlineStr">
        <is>
          <t xml:space="preserve">sento-double-bed</t>
        </is>
      </c>
      <c r="I38" t="inlineStr">
        <is>
          <t xml:space="preserve">baby, double, teen</t>
        </is>
      </c>
      <c r="J38" t="n">
        <v>574390000</v>
      </c>
      <c r="L38" t="n">
        <v>14</v>
      </c>
      <c r="M38" t="n">
        <v>5</v>
      </c>
      <c r="N38" t="n">
        <v>5</v>
      </c>
      <c r="O38" t="inlineStr">
        <is>
          <t xml:space="preserve">in_stock</t>
        </is>
      </c>
      <c r="P38" t="inlineStr">
        <is>
          <t xml:space="preserve">width:160 · height:110 · depth:215</t>
        </is>
      </c>
      <c r="R38" t="inlineStr">
        <is>
          <t xml:space="preserve">تخت دونفره</t>
        </is>
      </c>
      <c r="X38" t="n">
        <v>0</v>
      </c>
    </row>
    <row r="39" ht="48" customHeight="1">
      <c r="A39">
        <f>IMAGE("http://80.240.31.146:3000/_next/image?url=%2Fapi%2Fmedia%2Ffile%2Fsento-bookcase.webp&amp;w=256&amp;q=75",4,60,80)</f>
      </c>
      <c r="B39" t="n">
        <v>541</v>
      </c>
      <c r="C39" t="inlineStr">
        <is>
          <t xml:space="preserve">published</t>
        </is>
      </c>
      <c r="D39" t="inlineStr">
        <is>
          <t xml:space="preserve">سنتو</t>
        </is>
      </c>
      <c r="F39" t="inlineStr">
        <is>
          <t xml:space="preserve">کتابخانه سنتو</t>
        </is>
      </c>
      <c r="G39" t="inlineStr">
        <is>
          <t xml:space="preserve">sento-bookcase</t>
        </is>
      </c>
      <c r="H39" t="inlineStr">
        <is>
          <t xml:space="preserve">sento-bookcase</t>
        </is>
      </c>
      <c r="I39" t="inlineStr">
        <is>
          <t xml:space="preserve">baby, double, teen</t>
        </is>
      </c>
      <c r="J39" t="n">
        <v>637160000</v>
      </c>
      <c r="L39" t="n">
        <v>14</v>
      </c>
      <c r="M39" t="n">
        <v>5</v>
      </c>
      <c r="N39" t="n">
        <v>5</v>
      </c>
      <c r="O39" t="inlineStr">
        <is>
          <t xml:space="preserve">in_stock</t>
        </is>
      </c>
      <c r="P39" t="inlineStr">
        <is>
          <t xml:space="preserve">width:80 · height:200 · depth:35</t>
        </is>
      </c>
      <c r="R39" t="inlineStr">
        <is>
          <t xml:space="preserve">کتابخانه</t>
        </is>
      </c>
      <c r="X39" t="n">
        <v>1</v>
      </c>
      <c r="Y39" t="inlineStr">
        <is>
          <t xml:space="preserve">sento-bookcase.webp</t>
        </is>
      </c>
      <c r="Z39" t="inlineStr">
        <is>
          <t xml:space="preserve">http://80.240.31.146:3000/api/media/file/sento-bookcase.webp</t>
        </is>
      </c>
    </row>
    <row r="40" ht="48" customHeight="1">
      <c r="B40" t="n">
        <v>540</v>
      </c>
      <c r="C40" t="inlineStr">
        <is>
          <t xml:space="preserve">draft</t>
        </is>
      </c>
      <c r="D40" t="inlineStr">
        <is>
          <t xml:space="preserve">رمانتیک</t>
        </is>
      </c>
      <c r="F40" t="inlineStr">
        <is>
          <t xml:space="preserve">کمد رمانتیک</t>
        </is>
      </c>
      <c r="G40" t="inlineStr">
        <is>
          <t xml:space="preserve">romantic-wardrobe</t>
        </is>
      </c>
      <c r="H40" t="inlineStr">
        <is>
          <t xml:space="preserve">romantic-wardrobe</t>
        </is>
      </c>
      <c r="I40" t="inlineStr">
        <is>
          <t xml:space="preserve">double, teen</t>
        </is>
      </c>
      <c r="J40" t="n">
        <v>1227310000</v>
      </c>
      <c r="L40" t="n">
        <v>14</v>
      </c>
      <c r="M40" t="n">
        <v>5</v>
      </c>
      <c r="N40" t="n">
        <v>5</v>
      </c>
      <c r="O40" t="inlineStr">
        <is>
          <t xml:space="preserve">in_stock</t>
        </is>
      </c>
      <c r="P40" t="inlineStr">
        <is>
          <t xml:space="preserve">width:120 · height:220 · depth:60</t>
        </is>
      </c>
      <c r="R40" t="inlineStr">
        <is>
          <t xml:space="preserve">کمد</t>
        </is>
      </c>
      <c r="X40" t="n">
        <v>0</v>
      </c>
    </row>
    <row r="41" ht="48" customHeight="1">
      <c r="B41" t="n">
        <v>539</v>
      </c>
      <c r="C41" t="inlineStr">
        <is>
          <t xml:space="preserve">draft</t>
        </is>
      </c>
      <c r="D41" t="inlineStr">
        <is>
          <t xml:space="preserve">رمانتیک</t>
        </is>
      </c>
      <c r="F41" t="inlineStr">
        <is>
          <t xml:space="preserve">صندلی میز آرایش رمانتیک</t>
        </is>
      </c>
      <c r="G41" t="inlineStr">
        <is>
          <t xml:space="preserve">romantic-vanity-chair</t>
        </is>
      </c>
      <c r="H41" t="inlineStr">
        <is>
          <t xml:space="preserve">romantic-vanity-chair</t>
        </is>
      </c>
      <c r="I41" t="inlineStr">
        <is>
          <t xml:space="preserve">double, teen</t>
        </is>
      </c>
      <c r="J41" t="n">
        <v>175340000</v>
      </c>
      <c r="L41" t="n">
        <v>14</v>
      </c>
      <c r="M41" t="n">
        <v>5</v>
      </c>
      <c r="N41" t="n">
        <v>5</v>
      </c>
      <c r="O41" t="inlineStr">
        <is>
          <t xml:space="preserve">in_stock</t>
        </is>
      </c>
      <c r="P41" t="inlineStr">
        <is>
          <t xml:space="preserve">width:100 · height:78 · depth:45</t>
        </is>
      </c>
      <c r="R41" t="inlineStr">
        <is>
          <t xml:space="preserve">صندلی میز آرایش</t>
        </is>
      </c>
      <c r="X41" t="n">
        <v>0</v>
      </c>
    </row>
    <row r="42" ht="48" customHeight="1">
      <c r="B42" t="n">
        <v>538</v>
      </c>
      <c r="C42" t="inlineStr">
        <is>
          <t xml:space="preserve">draft</t>
        </is>
      </c>
      <c r="D42" t="inlineStr">
        <is>
          <t xml:space="preserve">رمانتیک</t>
        </is>
      </c>
      <c r="F42" t="inlineStr">
        <is>
          <t xml:space="preserve">آینه رومیزی رمانتیک</t>
        </is>
      </c>
      <c r="G42" t="inlineStr">
        <is>
          <t xml:space="preserve">romantic-table-mirror</t>
        </is>
      </c>
      <c r="H42" t="inlineStr">
        <is>
          <t xml:space="preserve">romantic-table-mirror</t>
        </is>
      </c>
      <c r="I42" t="inlineStr">
        <is>
          <t xml:space="preserve">double, teen</t>
        </is>
      </c>
      <c r="J42" t="n">
        <v>370300000</v>
      </c>
      <c r="L42" t="n">
        <v>14</v>
      </c>
      <c r="M42" t="n">
        <v>5</v>
      </c>
      <c r="N42" t="n">
        <v>5</v>
      </c>
      <c r="O42" t="inlineStr">
        <is>
          <t xml:space="preserve">in_stock</t>
        </is>
      </c>
      <c r="P42" t="inlineStr">
        <is>
          <t xml:space="preserve">width:60 · height:70 · depth:5</t>
        </is>
      </c>
      <c r="R42" t="inlineStr">
        <is>
          <t xml:space="preserve">آینه رومیزی</t>
        </is>
      </c>
      <c r="X42" t="n">
        <v>0</v>
      </c>
    </row>
    <row r="43" ht="48" customHeight="1">
      <c r="B43" t="n">
        <v>537</v>
      </c>
      <c r="C43" t="inlineStr">
        <is>
          <t xml:space="preserve">draft</t>
        </is>
      </c>
      <c r="D43" t="inlineStr">
        <is>
          <t xml:space="preserve">رمانتیک</t>
        </is>
      </c>
      <c r="F43" t="inlineStr">
        <is>
          <t xml:space="preserve">میز تحریر رمانتیک</t>
        </is>
      </c>
      <c r="G43" t="inlineStr">
        <is>
          <t xml:space="preserve">romantic-study-desk</t>
        </is>
      </c>
      <c r="H43" t="inlineStr">
        <is>
          <t xml:space="preserve">romantic-study-desk</t>
        </is>
      </c>
      <c r="I43" t="inlineStr">
        <is>
          <t xml:space="preserve">double, teen</t>
        </is>
      </c>
      <c r="J43" t="n">
        <v>942560000</v>
      </c>
      <c r="L43" t="n">
        <v>14</v>
      </c>
      <c r="M43" t="n">
        <v>5</v>
      </c>
      <c r="N43" t="n">
        <v>5</v>
      </c>
      <c r="O43" t="inlineStr">
        <is>
          <t xml:space="preserve">in_stock</t>
        </is>
      </c>
      <c r="P43" t="inlineStr">
        <is>
          <t xml:space="preserve">width:120 · height:75 · depth:60</t>
        </is>
      </c>
      <c r="R43" t="inlineStr">
        <is>
          <t xml:space="preserve">میز تحریر</t>
        </is>
      </c>
      <c r="X43" t="n">
        <v>0</v>
      </c>
    </row>
    <row r="44" ht="48" customHeight="1">
      <c r="B44" t="n">
        <v>536</v>
      </c>
      <c r="C44" t="inlineStr">
        <is>
          <t xml:space="preserve">draft</t>
        </is>
      </c>
      <c r="D44" t="inlineStr">
        <is>
          <t xml:space="preserve">رمانتیک</t>
        </is>
      </c>
      <c r="F44" t="inlineStr">
        <is>
          <t xml:space="preserve">صندلی میز تحریر رمانتیک</t>
        </is>
      </c>
      <c r="G44" t="inlineStr">
        <is>
          <t xml:space="preserve">romantic-study-chair</t>
        </is>
      </c>
      <c r="H44" t="inlineStr">
        <is>
          <t xml:space="preserve">romantic-study-chair</t>
        </is>
      </c>
      <c r="I44" t="inlineStr">
        <is>
          <t xml:space="preserve">double, teen</t>
        </is>
      </c>
      <c r="J44" t="n">
        <v>333830000</v>
      </c>
      <c r="L44" t="n">
        <v>14</v>
      </c>
      <c r="M44" t="n">
        <v>5</v>
      </c>
      <c r="N44" t="n">
        <v>5</v>
      </c>
      <c r="O44" t="inlineStr">
        <is>
          <t xml:space="preserve">in_stock</t>
        </is>
      </c>
      <c r="P44" t="inlineStr">
        <is>
          <t xml:space="preserve">width:50 · height:85 · depth:50</t>
        </is>
      </c>
      <c r="R44" t="inlineStr">
        <is>
          <t xml:space="preserve">صندلی میز تحریر</t>
        </is>
      </c>
      <c r="X44" t="n">
        <v>0</v>
      </c>
    </row>
    <row r="45" ht="48" customHeight="1">
      <c r="B45" t="n">
        <v>535</v>
      </c>
      <c r="C45" t="inlineStr">
        <is>
          <t xml:space="preserve">draft</t>
        </is>
      </c>
      <c r="D45" t="inlineStr">
        <is>
          <t xml:space="preserve">رمانتیک</t>
        </is>
      </c>
      <c r="F45" t="inlineStr">
        <is>
          <t xml:space="preserve">آینه قدی رمانتیک</t>
        </is>
      </c>
      <c r="G45" t="inlineStr">
        <is>
          <t xml:space="preserve">romantic-standing-mirror</t>
        </is>
      </c>
      <c r="H45" t="inlineStr">
        <is>
          <t xml:space="preserve">romantic-standing-mirror</t>
        </is>
      </c>
      <c r="I45" t="inlineStr">
        <is>
          <t xml:space="preserve">double, teen</t>
        </is>
      </c>
      <c r="J45" t="n">
        <v>622760000</v>
      </c>
      <c r="L45" t="n">
        <v>14</v>
      </c>
      <c r="M45" t="n">
        <v>5</v>
      </c>
      <c r="N45" t="n">
        <v>5</v>
      </c>
      <c r="O45" t="inlineStr">
        <is>
          <t xml:space="preserve">in_stock</t>
        </is>
      </c>
      <c r="P45" t="inlineStr">
        <is>
          <t xml:space="preserve">width:60 · height:180 · depth:5</t>
        </is>
      </c>
      <c r="R45" t="inlineStr">
        <is>
          <t xml:space="preserve">آینه قدی</t>
        </is>
      </c>
      <c r="X45" t="n">
        <v>0</v>
      </c>
    </row>
    <row r="46" ht="48" customHeight="1">
      <c r="B46" t="n">
        <v>534</v>
      </c>
      <c r="C46" t="inlineStr">
        <is>
          <t xml:space="preserve">draft</t>
        </is>
      </c>
      <c r="D46" t="inlineStr">
        <is>
          <t xml:space="preserve">رمانتیک</t>
        </is>
      </c>
      <c r="F46" t="inlineStr">
        <is>
          <t xml:space="preserve">تخت یک نفره رمانتیک</t>
        </is>
      </c>
      <c r="G46" t="inlineStr">
        <is>
          <t xml:space="preserve">romantic-single-bed</t>
        </is>
      </c>
      <c r="H46" t="inlineStr">
        <is>
          <t xml:space="preserve">romantic-single-bed</t>
        </is>
      </c>
      <c r="I46" t="inlineStr">
        <is>
          <t xml:space="preserve">double, teen</t>
        </is>
      </c>
      <c r="J46" t="n">
        <v>1002880000</v>
      </c>
      <c r="L46" t="n">
        <v>14</v>
      </c>
      <c r="M46" t="n">
        <v>5</v>
      </c>
      <c r="N46" t="n">
        <v>5</v>
      </c>
      <c r="O46" t="inlineStr">
        <is>
          <t xml:space="preserve">in_stock</t>
        </is>
      </c>
      <c r="P46" t="inlineStr">
        <is>
          <t xml:space="preserve">width:100 · height:110 · depth:210</t>
        </is>
      </c>
      <c r="R46" t="inlineStr">
        <is>
          <t xml:space="preserve">تخت یک نفره</t>
        </is>
      </c>
      <c r="X46" t="n">
        <v>0</v>
      </c>
    </row>
    <row r="47" ht="48" customHeight="1">
      <c r="B47" t="n">
        <v>533</v>
      </c>
      <c r="C47" t="inlineStr">
        <is>
          <t xml:space="preserve">draft</t>
        </is>
      </c>
      <c r="D47" t="inlineStr">
        <is>
          <t xml:space="preserve">رمانتیک</t>
        </is>
      </c>
      <c r="F47" t="inlineStr">
        <is>
          <t xml:space="preserve">پاتختی رمانتیک</t>
        </is>
      </c>
      <c r="G47" t="inlineStr">
        <is>
          <t xml:space="preserve">romantic-nightstand</t>
        </is>
      </c>
      <c r="H47" t="inlineStr">
        <is>
          <t xml:space="preserve">romantic-nightstand</t>
        </is>
      </c>
      <c r="I47" t="inlineStr">
        <is>
          <t xml:space="preserve">double, teen</t>
        </is>
      </c>
      <c r="J47" t="n">
        <v>382910000</v>
      </c>
      <c r="L47" t="n">
        <v>14</v>
      </c>
      <c r="M47" t="n">
        <v>5</v>
      </c>
      <c r="N47" t="n">
        <v>5</v>
      </c>
      <c r="O47" t="inlineStr">
        <is>
          <t xml:space="preserve">in_stock</t>
        </is>
      </c>
      <c r="P47" t="inlineStr">
        <is>
          <t xml:space="preserve">width:50 · height:55 · depth:40</t>
        </is>
      </c>
      <c r="R47" t="inlineStr">
        <is>
          <t xml:space="preserve">پاتختی</t>
        </is>
      </c>
      <c r="X47" t="n">
        <v>0</v>
      </c>
    </row>
    <row r="48" ht="48" customHeight="1">
      <c r="B48" t="n">
        <v>532</v>
      </c>
      <c r="C48" t="inlineStr">
        <is>
          <t xml:space="preserve">draft</t>
        </is>
      </c>
      <c r="D48" t="inlineStr">
        <is>
          <t xml:space="preserve">رمانتیک</t>
        </is>
      </c>
      <c r="F48" t="inlineStr">
        <is>
          <t xml:space="preserve">تخت دونفره رمانتیک</t>
        </is>
      </c>
      <c r="G48" t="inlineStr">
        <is>
          <t xml:space="preserve">romantic-double-bed</t>
        </is>
      </c>
      <c r="H48" t="inlineStr">
        <is>
          <t xml:space="preserve">romantic-double-bed</t>
        </is>
      </c>
      <c r="I48" t="inlineStr">
        <is>
          <t xml:space="preserve">double, teen</t>
        </is>
      </c>
      <c r="J48" t="n">
        <v>1258170000</v>
      </c>
      <c r="L48" t="n">
        <v>14</v>
      </c>
      <c r="M48" t="n">
        <v>5</v>
      </c>
      <c r="N48" t="n">
        <v>5</v>
      </c>
      <c r="O48" t="inlineStr">
        <is>
          <t xml:space="preserve">in_stock</t>
        </is>
      </c>
      <c r="P48" t="inlineStr">
        <is>
          <t xml:space="preserve">width:160 · height:110 · depth:215</t>
        </is>
      </c>
      <c r="R48" t="inlineStr">
        <is>
          <t xml:space="preserve">تخت دونفره</t>
        </is>
      </c>
      <c r="X48" t="n">
        <v>0</v>
      </c>
    </row>
    <row r="49" ht="48" customHeight="1">
      <c r="B49" t="n">
        <v>531</v>
      </c>
      <c r="C49" t="inlineStr">
        <is>
          <t xml:space="preserve">draft</t>
        </is>
      </c>
      <c r="D49" t="inlineStr">
        <is>
          <t xml:space="preserve">رمانتیک</t>
        </is>
      </c>
      <c r="F49" t="inlineStr">
        <is>
          <t xml:space="preserve">کنسول رمانتیک</t>
        </is>
      </c>
      <c r="G49" t="inlineStr">
        <is>
          <t xml:space="preserve">romantic-console</t>
        </is>
      </c>
      <c r="H49" t="inlineStr">
        <is>
          <t xml:space="preserve">romantic-console</t>
        </is>
      </c>
      <c r="I49" t="inlineStr">
        <is>
          <t xml:space="preserve">double, teen</t>
        </is>
      </c>
      <c r="J49" t="n">
        <v>0</v>
      </c>
      <c r="L49" t="n">
        <v>14</v>
      </c>
      <c r="M49" t="n">
        <v>5</v>
      </c>
      <c r="N49" t="n">
        <v>5</v>
      </c>
      <c r="O49" t="inlineStr">
        <is>
          <t xml:space="preserve">made_to_order</t>
        </is>
      </c>
      <c r="P49" t="inlineStr">
        <is>
          <t xml:space="preserve">width:110 · height:80 · depth:35</t>
        </is>
      </c>
      <c r="R49" t="inlineStr">
        <is>
          <t xml:space="preserve">کنسول</t>
        </is>
      </c>
      <c r="X49" t="n">
        <v>0</v>
      </c>
    </row>
    <row r="50" ht="48" customHeight="1">
      <c r="B50" t="n">
        <v>530</v>
      </c>
      <c r="C50" t="inlineStr">
        <is>
          <t xml:space="preserve">draft</t>
        </is>
      </c>
      <c r="D50" t="inlineStr">
        <is>
          <t xml:space="preserve">رمانتیک</t>
        </is>
      </c>
      <c r="F50" t="inlineStr">
        <is>
          <t xml:space="preserve">کتابخانه رمانتیک</t>
        </is>
      </c>
      <c r="G50" t="inlineStr">
        <is>
          <t xml:space="preserve">romantic-bookcase</t>
        </is>
      </c>
      <c r="H50" t="inlineStr">
        <is>
          <t xml:space="preserve">romantic-bookcase</t>
        </is>
      </c>
      <c r="I50" t="inlineStr">
        <is>
          <t xml:space="preserve">double, teen</t>
        </is>
      </c>
      <c r="J50" t="n">
        <v>946780000</v>
      </c>
      <c r="L50" t="n">
        <v>14</v>
      </c>
      <c r="M50" t="n">
        <v>5</v>
      </c>
      <c r="N50" t="n">
        <v>5</v>
      </c>
      <c r="O50" t="inlineStr">
        <is>
          <t xml:space="preserve">in_stock</t>
        </is>
      </c>
      <c r="P50" t="inlineStr">
        <is>
          <t xml:space="preserve">width:80 · height:200 · depth:35</t>
        </is>
      </c>
      <c r="R50" t="inlineStr">
        <is>
          <t xml:space="preserve">کتابخانه</t>
        </is>
      </c>
      <c r="X50" t="n">
        <v>0</v>
      </c>
    </row>
    <row r="51" ht="48" customHeight="1">
      <c r="B51" t="n">
        <v>529</v>
      </c>
      <c r="C51" t="inlineStr">
        <is>
          <t xml:space="preserve">draft</t>
        </is>
      </c>
      <c r="D51" t="inlineStr">
        <is>
          <t xml:space="preserve">روکو</t>
        </is>
      </c>
      <c r="F51" t="inlineStr">
        <is>
          <t xml:space="preserve">کمد روکو</t>
        </is>
      </c>
      <c r="G51" t="inlineStr">
        <is>
          <t xml:space="preserve">roco-wardrobe</t>
        </is>
      </c>
      <c r="H51" t="inlineStr">
        <is>
          <t xml:space="preserve">roco-wardrobe</t>
        </is>
      </c>
      <c r="I51" t="inlineStr">
        <is>
          <t xml:space="preserve">double, teen</t>
        </is>
      </c>
      <c r="J51" t="n">
        <v>0</v>
      </c>
      <c r="L51" t="n">
        <v>14</v>
      </c>
      <c r="M51" t="n">
        <v>5</v>
      </c>
      <c r="N51" t="n">
        <v>5</v>
      </c>
      <c r="O51" t="inlineStr">
        <is>
          <t xml:space="preserve">made_to_order</t>
        </is>
      </c>
      <c r="P51" t="inlineStr">
        <is>
          <t xml:space="preserve">width:120 · height:220 · depth:60</t>
        </is>
      </c>
      <c r="R51" t="inlineStr">
        <is>
          <t xml:space="preserve">کمد</t>
        </is>
      </c>
      <c r="X51" t="n">
        <v>0</v>
      </c>
    </row>
    <row r="52" ht="48" customHeight="1">
      <c r="B52" t="n">
        <v>528</v>
      </c>
      <c r="C52" t="inlineStr">
        <is>
          <t xml:space="preserve">draft</t>
        </is>
      </c>
      <c r="D52" t="inlineStr">
        <is>
          <t xml:space="preserve">روکو</t>
        </is>
      </c>
      <c r="F52" t="inlineStr">
        <is>
          <t xml:space="preserve">صندلی میز آرایش روکو</t>
        </is>
      </c>
      <c r="G52" t="inlineStr">
        <is>
          <t xml:space="preserve">roco-vanity-chair</t>
        </is>
      </c>
      <c r="H52" t="inlineStr">
        <is>
          <t xml:space="preserve">roco-vanity-chair</t>
        </is>
      </c>
      <c r="I52" t="inlineStr">
        <is>
          <t xml:space="preserve">double, teen</t>
        </is>
      </c>
      <c r="J52" t="n">
        <v>0</v>
      </c>
      <c r="L52" t="n">
        <v>14</v>
      </c>
      <c r="M52" t="n">
        <v>5</v>
      </c>
      <c r="N52" t="n">
        <v>5</v>
      </c>
      <c r="O52" t="inlineStr">
        <is>
          <t xml:space="preserve">made_to_order</t>
        </is>
      </c>
      <c r="P52" t="inlineStr">
        <is>
          <t xml:space="preserve">width:100 · height:78 · depth:45</t>
        </is>
      </c>
      <c r="R52" t="inlineStr">
        <is>
          <t xml:space="preserve">صندلی میز آرایش</t>
        </is>
      </c>
      <c r="X52" t="n">
        <v>0</v>
      </c>
    </row>
    <row r="53" ht="48" customHeight="1">
      <c r="B53" t="n">
        <v>527</v>
      </c>
      <c r="C53" t="inlineStr">
        <is>
          <t xml:space="preserve">draft</t>
        </is>
      </c>
      <c r="D53" t="inlineStr">
        <is>
          <t xml:space="preserve">روکو</t>
        </is>
      </c>
      <c r="F53" t="inlineStr">
        <is>
          <t xml:space="preserve">میز آرایش روکو</t>
        </is>
      </c>
      <c r="G53" t="inlineStr">
        <is>
          <t xml:space="preserve">roco-vanity</t>
        </is>
      </c>
      <c r="H53" t="inlineStr">
        <is>
          <t xml:space="preserve">roco-vanity</t>
        </is>
      </c>
      <c r="I53" t="inlineStr">
        <is>
          <t xml:space="preserve">double, teen</t>
        </is>
      </c>
      <c r="J53" t="n">
        <v>0</v>
      </c>
      <c r="L53" t="n">
        <v>14</v>
      </c>
      <c r="M53" t="n">
        <v>5</v>
      </c>
      <c r="N53" t="n">
        <v>5</v>
      </c>
      <c r="O53" t="inlineStr">
        <is>
          <t xml:space="preserve">made_to_order</t>
        </is>
      </c>
      <c r="P53" t="inlineStr">
        <is>
          <t xml:space="preserve">width:100 · height:78 · depth:45</t>
        </is>
      </c>
      <c r="R53" t="inlineStr">
        <is>
          <t xml:space="preserve">میز آرایش</t>
        </is>
      </c>
      <c r="X53" t="n">
        <v>0</v>
      </c>
    </row>
    <row r="54" ht="48" customHeight="1">
      <c r="B54" t="n">
        <v>526</v>
      </c>
      <c r="C54" t="inlineStr">
        <is>
          <t xml:space="preserve">draft</t>
        </is>
      </c>
      <c r="D54" t="inlineStr">
        <is>
          <t xml:space="preserve">روکو</t>
        </is>
      </c>
      <c r="F54" t="inlineStr">
        <is>
          <t xml:space="preserve">آینه رومیزی روکو</t>
        </is>
      </c>
      <c r="G54" t="inlineStr">
        <is>
          <t xml:space="preserve">roco-table-mirror</t>
        </is>
      </c>
      <c r="H54" t="inlineStr">
        <is>
          <t xml:space="preserve">roco-table-mirror</t>
        </is>
      </c>
      <c r="I54" t="inlineStr">
        <is>
          <t xml:space="preserve">double, teen</t>
        </is>
      </c>
      <c r="J54" t="n">
        <v>0</v>
      </c>
      <c r="L54" t="n">
        <v>14</v>
      </c>
      <c r="M54" t="n">
        <v>5</v>
      </c>
      <c r="N54" t="n">
        <v>5</v>
      </c>
      <c r="O54" t="inlineStr">
        <is>
          <t xml:space="preserve">made_to_order</t>
        </is>
      </c>
      <c r="P54" t="inlineStr">
        <is>
          <t xml:space="preserve">width:60 · height:70 · depth:5</t>
        </is>
      </c>
      <c r="R54" t="inlineStr">
        <is>
          <t xml:space="preserve">آینه رومیزی</t>
        </is>
      </c>
      <c r="X54" t="n">
        <v>0</v>
      </c>
    </row>
    <row r="55" ht="48" customHeight="1">
      <c r="B55" t="n">
        <v>525</v>
      </c>
      <c r="C55" t="inlineStr">
        <is>
          <t xml:space="preserve">draft</t>
        </is>
      </c>
      <c r="D55" t="inlineStr">
        <is>
          <t xml:space="preserve">روکو</t>
        </is>
      </c>
      <c r="F55" t="inlineStr">
        <is>
          <t xml:space="preserve">میز تحریر روکو</t>
        </is>
      </c>
      <c r="G55" t="inlineStr">
        <is>
          <t xml:space="preserve">roco-study-desk</t>
        </is>
      </c>
      <c r="H55" t="inlineStr">
        <is>
          <t xml:space="preserve">roco-study-desk</t>
        </is>
      </c>
      <c r="I55" t="inlineStr">
        <is>
          <t xml:space="preserve">double, teen</t>
        </is>
      </c>
      <c r="J55" t="n">
        <v>0</v>
      </c>
      <c r="L55" t="n">
        <v>14</v>
      </c>
      <c r="M55" t="n">
        <v>5</v>
      </c>
      <c r="N55" t="n">
        <v>5</v>
      </c>
      <c r="O55" t="inlineStr">
        <is>
          <t xml:space="preserve">made_to_order</t>
        </is>
      </c>
      <c r="P55" t="inlineStr">
        <is>
          <t xml:space="preserve">width:120 · height:75 · depth:60</t>
        </is>
      </c>
      <c r="R55" t="inlineStr">
        <is>
          <t xml:space="preserve">میز تحریر</t>
        </is>
      </c>
      <c r="X55" t="n">
        <v>0</v>
      </c>
    </row>
    <row r="56" ht="48" customHeight="1">
      <c r="B56" t="n">
        <v>524</v>
      </c>
      <c r="C56" t="inlineStr">
        <is>
          <t xml:space="preserve">draft</t>
        </is>
      </c>
      <c r="D56" t="inlineStr">
        <is>
          <t xml:space="preserve">روکو</t>
        </is>
      </c>
      <c r="F56" t="inlineStr">
        <is>
          <t xml:space="preserve">صندلی میز تحریر روکو</t>
        </is>
      </c>
      <c r="G56" t="inlineStr">
        <is>
          <t xml:space="preserve">roco-study-chair</t>
        </is>
      </c>
      <c r="H56" t="inlineStr">
        <is>
          <t xml:space="preserve">roco-study-chair</t>
        </is>
      </c>
      <c r="I56" t="inlineStr">
        <is>
          <t xml:space="preserve">double, teen</t>
        </is>
      </c>
      <c r="J56" t="n">
        <v>0</v>
      </c>
      <c r="L56" t="n">
        <v>14</v>
      </c>
      <c r="M56" t="n">
        <v>5</v>
      </c>
      <c r="N56" t="n">
        <v>5</v>
      </c>
      <c r="O56" t="inlineStr">
        <is>
          <t xml:space="preserve">made_to_order</t>
        </is>
      </c>
      <c r="P56" t="inlineStr">
        <is>
          <t xml:space="preserve">width:50 · height:85 · depth:50</t>
        </is>
      </c>
      <c r="R56" t="inlineStr">
        <is>
          <t xml:space="preserve">صندلی میز تحریر</t>
        </is>
      </c>
      <c r="X56" t="n">
        <v>0</v>
      </c>
    </row>
    <row r="57" ht="48" customHeight="1">
      <c r="B57" t="n">
        <v>523</v>
      </c>
      <c r="C57" t="inlineStr">
        <is>
          <t xml:space="preserve">draft</t>
        </is>
      </c>
      <c r="D57" t="inlineStr">
        <is>
          <t xml:space="preserve">روکو</t>
        </is>
      </c>
      <c r="F57" t="inlineStr">
        <is>
          <t xml:space="preserve">آینه قدی روکو</t>
        </is>
      </c>
      <c r="G57" t="inlineStr">
        <is>
          <t xml:space="preserve">roco-standing-mirror</t>
        </is>
      </c>
      <c r="H57" t="inlineStr">
        <is>
          <t xml:space="preserve">roco-standing-mirror</t>
        </is>
      </c>
      <c r="I57" t="inlineStr">
        <is>
          <t xml:space="preserve">double, teen</t>
        </is>
      </c>
      <c r="J57" t="n">
        <v>0</v>
      </c>
      <c r="L57" t="n">
        <v>14</v>
      </c>
      <c r="M57" t="n">
        <v>5</v>
      </c>
      <c r="N57" t="n">
        <v>5</v>
      </c>
      <c r="O57" t="inlineStr">
        <is>
          <t xml:space="preserve">made_to_order</t>
        </is>
      </c>
      <c r="P57" t="inlineStr">
        <is>
          <t xml:space="preserve">width:60 · height:180 · depth:5</t>
        </is>
      </c>
      <c r="R57" t="inlineStr">
        <is>
          <t xml:space="preserve">آینه قدی</t>
        </is>
      </c>
      <c r="X57" t="n">
        <v>0</v>
      </c>
    </row>
    <row r="58" ht="48" customHeight="1">
      <c r="B58" t="n">
        <v>522</v>
      </c>
      <c r="C58" t="inlineStr">
        <is>
          <t xml:space="preserve">draft</t>
        </is>
      </c>
      <c r="D58" t="inlineStr">
        <is>
          <t xml:space="preserve">روکو</t>
        </is>
      </c>
      <c r="F58" t="inlineStr">
        <is>
          <t xml:space="preserve">تخت یک نفره روکو</t>
        </is>
      </c>
      <c r="G58" t="inlineStr">
        <is>
          <t xml:space="preserve">roco-single-bed</t>
        </is>
      </c>
      <c r="H58" t="inlineStr">
        <is>
          <t xml:space="preserve">roco-single-bed</t>
        </is>
      </c>
      <c r="I58" t="inlineStr">
        <is>
          <t xml:space="preserve">double, teen</t>
        </is>
      </c>
      <c r="J58" t="n">
        <v>0</v>
      </c>
      <c r="L58" t="n">
        <v>14</v>
      </c>
      <c r="M58" t="n">
        <v>5</v>
      </c>
      <c r="N58" t="n">
        <v>5</v>
      </c>
      <c r="O58" t="inlineStr">
        <is>
          <t xml:space="preserve">made_to_order</t>
        </is>
      </c>
      <c r="P58" t="inlineStr">
        <is>
          <t xml:space="preserve">width:100 · height:110 · depth:210</t>
        </is>
      </c>
      <c r="R58" t="inlineStr">
        <is>
          <t xml:space="preserve">تخت یک نفره</t>
        </is>
      </c>
      <c r="X58" t="n">
        <v>0</v>
      </c>
    </row>
    <row r="59" ht="48" customHeight="1">
      <c r="B59" t="n">
        <v>521</v>
      </c>
      <c r="C59" t="inlineStr">
        <is>
          <t xml:space="preserve">draft</t>
        </is>
      </c>
      <c r="D59" t="inlineStr">
        <is>
          <t xml:space="preserve">روکو</t>
        </is>
      </c>
      <c r="F59" t="inlineStr">
        <is>
          <t xml:space="preserve">پاتختی روکو</t>
        </is>
      </c>
      <c r="G59" t="inlineStr">
        <is>
          <t xml:space="preserve">roco-nightstand</t>
        </is>
      </c>
      <c r="H59" t="inlineStr">
        <is>
          <t xml:space="preserve">roco-nightstand</t>
        </is>
      </c>
      <c r="I59" t="inlineStr">
        <is>
          <t xml:space="preserve">double, teen</t>
        </is>
      </c>
      <c r="J59" t="n">
        <v>0</v>
      </c>
      <c r="L59" t="n">
        <v>14</v>
      </c>
      <c r="M59" t="n">
        <v>5</v>
      </c>
      <c r="N59" t="n">
        <v>5</v>
      </c>
      <c r="O59" t="inlineStr">
        <is>
          <t xml:space="preserve">made_to_order</t>
        </is>
      </c>
      <c r="P59" t="inlineStr">
        <is>
          <t xml:space="preserve">width:50 · height:55 · depth:40</t>
        </is>
      </c>
      <c r="R59" t="inlineStr">
        <is>
          <t xml:space="preserve">پاتختی</t>
        </is>
      </c>
      <c r="X59" t="n">
        <v>0</v>
      </c>
    </row>
    <row r="60" ht="48" customHeight="1">
      <c r="B60" t="n">
        <v>520</v>
      </c>
      <c r="C60" t="inlineStr">
        <is>
          <t xml:space="preserve">draft</t>
        </is>
      </c>
      <c r="D60" t="inlineStr">
        <is>
          <t xml:space="preserve">روکو</t>
        </is>
      </c>
      <c r="F60" t="inlineStr">
        <is>
          <t xml:space="preserve">تخت دونفره روکو</t>
        </is>
      </c>
      <c r="G60" t="inlineStr">
        <is>
          <t xml:space="preserve">roco-double-bed</t>
        </is>
      </c>
      <c r="H60" t="inlineStr">
        <is>
          <t xml:space="preserve">roco-double-bed</t>
        </is>
      </c>
      <c r="I60" t="inlineStr">
        <is>
          <t xml:space="preserve">double, teen</t>
        </is>
      </c>
      <c r="J60" t="n">
        <v>0</v>
      </c>
      <c r="L60" t="n">
        <v>14</v>
      </c>
      <c r="M60" t="n">
        <v>5</v>
      </c>
      <c r="N60" t="n">
        <v>5</v>
      </c>
      <c r="O60" t="inlineStr">
        <is>
          <t xml:space="preserve">made_to_order</t>
        </is>
      </c>
      <c r="P60" t="inlineStr">
        <is>
          <t xml:space="preserve">width:160 · height:110 · depth:215</t>
        </is>
      </c>
      <c r="R60" t="inlineStr">
        <is>
          <t xml:space="preserve">تخت دونفره</t>
        </is>
      </c>
      <c r="X60" t="n">
        <v>0</v>
      </c>
    </row>
    <row r="61" ht="48" customHeight="1">
      <c r="B61" t="n">
        <v>519</v>
      </c>
      <c r="C61" t="inlineStr">
        <is>
          <t xml:space="preserve">draft</t>
        </is>
      </c>
      <c r="D61" t="inlineStr">
        <is>
          <t xml:space="preserve">روکو</t>
        </is>
      </c>
      <c r="F61" t="inlineStr">
        <is>
          <t xml:space="preserve">کتابخانه روکو</t>
        </is>
      </c>
      <c r="G61" t="inlineStr">
        <is>
          <t xml:space="preserve">roco-bookcase</t>
        </is>
      </c>
      <c r="H61" t="inlineStr">
        <is>
          <t xml:space="preserve">roco-bookcase</t>
        </is>
      </c>
      <c r="I61" t="inlineStr">
        <is>
          <t xml:space="preserve">double, teen</t>
        </is>
      </c>
      <c r="J61" t="n">
        <v>0</v>
      </c>
      <c r="L61" t="n">
        <v>14</v>
      </c>
      <c r="M61" t="n">
        <v>5</v>
      </c>
      <c r="N61" t="n">
        <v>5</v>
      </c>
      <c r="O61" t="inlineStr">
        <is>
          <t xml:space="preserve">made_to_order</t>
        </is>
      </c>
      <c r="P61" t="inlineStr">
        <is>
          <t xml:space="preserve">width:80 · height:200 · depth:35</t>
        </is>
      </c>
      <c r="R61" t="inlineStr">
        <is>
          <t xml:space="preserve">کتابخانه</t>
        </is>
      </c>
      <c r="X61" t="n">
        <v>0</v>
      </c>
    </row>
    <row r="62" ht="48" customHeight="1">
      <c r="B62" t="n">
        <v>518</v>
      </c>
      <c r="C62" t="inlineStr">
        <is>
          <t xml:space="preserve">draft</t>
        </is>
      </c>
      <c r="D62" t="inlineStr">
        <is>
          <t xml:space="preserve">روکو</t>
        </is>
      </c>
      <c r="F62" t="inlineStr">
        <is>
          <t xml:space="preserve">تخت نوزاد روکو</t>
        </is>
      </c>
      <c r="G62" t="inlineStr">
        <is>
          <t xml:space="preserve">roco-baby-bed</t>
        </is>
      </c>
      <c r="H62" t="inlineStr">
        <is>
          <t xml:space="preserve">roco-baby-bed</t>
        </is>
      </c>
      <c r="I62" t="inlineStr">
        <is>
          <t xml:space="preserve">double, teen</t>
        </is>
      </c>
      <c r="J62" t="n">
        <v>0</v>
      </c>
      <c r="L62" t="n">
        <v>14</v>
      </c>
      <c r="M62" t="n">
        <v>5</v>
      </c>
      <c r="N62" t="n">
        <v>5</v>
      </c>
      <c r="O62" t="inlineStr">
        <is>
          <t xml:space="preserve">made_to_order</t>
        </is>
      </c>
      <c r="P62" t="inlineStr">
        <is>
          <t xml:space="preserve">width:120 · height:110 · depth:210</t>
        </is>
      </c>
      <c r="R62" t="inlineStr">
        <is>
          <t xml:space="preserve">تخت نوزاد</t>
        </is>
      </c>
      <c r="X62" t="n">
        <v>0</v>
      </c>
    </row>
    <row r="63" ht="48" customHeight="1">
      <c r="A63">
        <f>IMAGE("http://80.240.31.146:3000/_next/image?url=%2Fapi%2Fmedia%2Ffile%2Fparla-combined-wardrobe-cream.webp&amp;w=256&amp;q=75",4,60,80)</f>
      </c>
      <c r="B63" t="n">
        <v>517</v>
      </c>
      <c r="C63" t="inlineStr">
        <is>
          <t xml:space="preserve">published</t>
        </is>
      </c>
      <c r="D63" t="inlineStr">
        <is>
          <t xml:space="preserve">پارلا</t>
        </is>
      </c>
      <c r="F63" t="inlineStr">
        <is>
          <t xml:space="preserve">کمد پارلا</t>
        </is>
      </c>
      <c r="G63" t="inlineStr">
        <is>
          <t xml:space="preserve">parla-wardrobe</t>
        </is>
      </c>
      <c r="H63" t="inlineStr">
        <is>
          <t xml:space="preserve">parla-wardrobe</t>
        </is>
      </c>
      <c r="I63" t="inlineStr">
        <is>
          <t xml:space="preserve">baby, bunk, double, teen</t>
        </is>
      </c>
      <c r="J63" t="n">
        <v>675770000</v>
      </c>
      <c r="L63" t="n">
        <v>14</v>
      </c>
      <c r="M63" t="n">
        <v>5</v>
      </c>
      <c r="N63" t="n">
        <v>5</v>
      </c>
      <c r="O63" t="inlineStr">
        <is>
          <t xml:space="preserve">in_stock</t>
        </is>
      </c>
      <c r="P63" t="inlineStr">
        <is>
          <t xml:space="preserve">width:120 · height:220 · depth:60</t>
        </is>
      </c>
      <c r="R63" t="inlineStr">
        <is>
          <t xml:space="preserve">کمد</t>
        </is>
      </c>
      <c r="X63" t="n">
        <v>6</v>
      </c>
      <c r="Y63" t="inlineStr">
        <is>
          <t xml:space="preserve">parla-combined-wardrobe-cream.webp; parla-wardrobe-2-doors-mdf-cream.webp; parla-wardrobe-3-doors-mdf-cream.webp; parla-combined-wardrobe-green.webp; parla-wardrobe-2-doors-mdf-mid-green.webp; parla-wardrobe-3-doors-mdf-green.webp</t>
        </is>
      </c>
      <c r="Z63" t="inlineStr">
        <is>
          <t xml:space="preserve">http://80.240.31.146:3000/api/media/file/parla-combined-wardrobe-cream.webp; http://80.240.31.146:3000/api/media/file/parla-wardrobe-2-doors-mdf-cream.webp; http://80.240.31.146:3000/api/media/file/parla-wardrobe-3-doors-mdf-cream.webp; http://80.240.31.146:3000/api/media/file/parla-combined-wardrobe-green.webp; http://80.240.31.146:3000/api/media/file/parla-wardrobe-2-doors-mdf-mid-green.webp; http://80.240.31.146:3000/api/media/file/parla-wardrobe-3-doors-mdf-green.webp</t>
        </is>
      </c>
    </row>
    <row r="64" ht="48" customHeight="1">
      <c r="A64">
        <f>IMAGE("http://80.240.31.146:3000/_next/image?url=%2Fapi%2Fmedia%2Ffile%2Fparla-wall-shelf-cream.webp&amp;w=256&amp;q=75",4,60,80)</f>
      </c>
      <c r="B64" t="n">
        <v>516</v>
      </c>
      <c r="C64" t="inlineStr">
        <is>
          <t xml:space="preserve">published</t>
        </is>
      </c>
      <c r="D64" t="inlineStr">
        <is>
          <t xml:space="preserve">پارلا</t>
        </is>
      </c>
      <c r="F64" t="inlineStr">
        <is>
          <t xml:space="preserve">شلف دیواری پارلا</t>
        </is>
      </c>
      <c r="G64" t="inlineStr">
        <is>
          <t xml:space="preserve">parla-wall-shelf</t>
        </is>
      </c>
      <c r="H64" t="inlineStr">
        <is>
          <t xml:space="preserve">parla-wall-shelf</t>
        </is>
      </c>
      <c r="I64" t="inlineStr">
        <is>
          <t xml:space="preserve">baby, bunk, double, teen</t>
        </is>
      </c>
      <c r="J64" t="n">
        <v>51750000</v>
      </c>
      <c r="L64" t="n">
        <v>14</v>
      </c>
      <c r="M64" t="n">
        <v>5</v>
      </c>
      <c r="N64" t="n">
        <v>5</v>
      </c>
      <c r="O64" t="inlineStr">
        <is>
          <t xml:space="preserve">in_stock</t>
        </is>
      </c>
      <c r="P64" t="inlineStr">
        <is>
          <t xml:space="preserve">width:80 · height:25 · depth:25</t>
        </is>
      </c>
      <c r="R64" t="inlineStr">
        <is>
          <t xml:space="preserve">شلف دیواری (براکت)</t>
        </is>
      </c>
      <c r="X64" t="n">
        <v>2</v>
      </c>
      <c r="Y64" t="inlineStr">
        <is>
          <t xml:space="preserve">parla-wall-shelf-cream.webp; parla-wall-shelf-green.webp</t>
        </is>
      </c>
      <c r="Z64" t="inlineStr">
        <is>
          <t xml:space="preserve">http://80.240.31.146:3000/api/media/file/parla-wall-shelf-cream.webp; http://80.240.31.146:3000/api/media/file/parla-wall-shelf-green.webp</t>
        </is>
      </c>
    </row>
    <row r="65" ht="48" customHeight="1">
      <c r="B65" t="n">
        <v>515</v>
      </c>
      <c r="C65" t="inlineStr">
        <is>
          <t xml:space="preserve">draft</t>
        </is>
      </c>
      <c r="D65" t="inlineStr">
        <is>
          <t xml:space="preserve">پارلا</t>
        </is>
      </c>
      <c r="F65" t="inlineStr">
        <is>
          <t xml:space="preserve">صندلی میز آرایش پارلا</t>
        </is>
      </c>
      <c r="G65" t="inlineStr">
        <is>
          <t xml:space="preserve">parla-vanity-chair</t>
        </is>
      </c>
      <c r="H65" t="inlineStr">
        <is>
          <t xml:space="preserve">parla-vanity-chair</t>
        </is>
      </c>
      <c r="I65" t="inlineStr">
        <is>
          <t xml:space="preserve">baby, bunk, double, teen</t>
        </is>
      </c>
      <c r="J65" t="n">
        <v>129770000</v>
      </c>
      <c r="L65" t="n">
        <v>14</v>
      </c>
      <c r="M65" t="n">
        <v>5</v>
      </c>
      <c r="N65" t="n">
        <v>5</v>
      </c>
      <c r="O65" t="inlineStr">
        <is>
          <t xml:space="preserve">in_stock</t>
        </is>
      </c>
      <c r="P65" t="inlineStr">
        <is>
          <t xml:space="preserve">width:100 · height:78 · depth:45</t>
        </is>
      </c>
      <c r="R65" t="inlineStr">
        <is>
          <t xml:space="preserve">صندلی میز آرایش</t>
        </is>
      </c>
      <c r="X65" t="n">
        <v>0</v>
      </c>
    </row>
    <row r="66" ht="48" customHeight="1">
      <c r="A66">
        <f>IMAGE("http://80.240.31.146:3000/_next/image?url=%2Fapi%2Fmedia%2Ffile%2Fparla-vanity-4-drawers-cream.webp&amp;w=256&amp;q=75",4,60,80)</f>
      </c>
      <c r="B66" t="n">
        <v>514</v>
      </c>
      <c r="C66" t="inlineStr">
        <is>
          <t xml:space="preserve">published</t>
        </is>
      </c>
      <c r="D66" t="inlineStr">
        <is>
          <t xml:space="preserve">پارلا</t>
        </is>
      </c>
      <c r="F66" t="inlineStr">
        <is>
          <t xml:space="preserve">میز آرایش پارلا</t>
        </is>
      </c>
      <c r="G66" t="inlineStr">
        <is>
          <t xml:space="preserve">parla-vanity</t>
        </is>
      </c>
      <c r="H66" t="inlineStr">
        <is>
          <t xml:space="preserve">parla-vanity</t>
        </is>
      </c>
      <c r="I66" t="inlineStr">
        <is>
          <t xml:space="preserve">baby, bunk, double, teen</t>
        </is>
      </c>
      <c r="J66" t="n">
        <v>675380000</v>
      </c>
      <c r="L66" t="n">
        <v>14</v>
      </c>
      <c r="M66" t="n">
        <v>5</v>
      </c>
      <c r="N66" t="n">
        <v>5</v>
      </c>
      <c r="O66" t="inlineStr">
        <is>
          <t xml:space="preserve">in_stock</t>
        </is>
      </c>
      <c r="P66" t="inlineStr">
        <is>
          <t xml:space="preserve">width:100 · height:78 · depth:45</t>
        </is>
      </c>
      <c r="R66" t="inlineStr">
        <is>
          <t xml:space="preserve">میز آرایش</t>
        </is>
      </c>
      <c r="X66" t="n">
        <v>2</v>
      </c>
      <c r="Y66" t="inlineStr">
        <is>
          <t xml:space="preserve">parla-vanity-4-drawers-cream.webp; parla-vanity-4-drawers-green.webp</t>
        </is>
      </c>
      <c r="Z66" t="inlineStr">
        <is>
          <t xml:space="preserve">http://80.240.31.146:3000/api/media/file/parla-vanity-4-drawers-cream.webp; http://80.240.31.146:3000/api/media/file/parla-vanity-4-drawers-green.webp</t>
        </is>
      </c>
    </row>
    <row r="67" ht="48" customHeight="1">
      <c r="B67" t="n">
        <v>513</v>
      </c>
      <c r="C67" t="inlineStr">
        <is>
          <t xml:space="preserve">draft</t>
        </is>
      </c>
      <c r="D67" t="inlineStr">
        <is>
          <t xml:space="preserve">پارلا</t>
        </is>
      </c>
      <c r="F67" t="inlineStr">
        <is>
          <t xml:space="preserve">آینه رومیزی پارلا</t>
        </is>
      </c>
      <c r="G67" t="inlineStr">
        <is>
          <t xml:space="preserve">parla-table-mirror</t>
        </is>
      </c>
      <c r="H67" t="inlineStr">
        <is>
          <t xml:space="preserve">parla-table-mirror</t>
        </is>
      </c>
      <c r="I67" t="inlineStr">
        <is>
          <t xml:space="preserve">baby, bunk, double, teen</t>
        </is>
      </c>
      <c r="J67" t="n">
        <v>0</v>
      </c>
      <c r="L67" t="n">
        <v>14</v>
      </c>
      <c r="M67" t="n">
        <v>5</v>
      </c>
      <c r="N67" t="n">
        <v>5</v>
      </c>
      <c r="O67" t="inlineStr">
        <is>
          <t xml:space="preserve">made_to_order</t>
        </is>
      </c>
      <c r="P67" t="inlineStr">
        <is>
          <t xml:space="preserve">width:60 · height:70 · depth:5</t>
        </is>
      </c>
      <c r="R67" t="inlineStr">
        <is>
          <t xml:space="preserve">آینه رومیزی</t>
        </is>
      </c>
      <c r="X67" t="n">
        <v>0</v>
      </c>
    </row>
    <row r="68" ht="48" customHeight="1">
      <c r="A68">
        <f>IMAGE("http://80.240.31.146:3000/_next/image?url=%2Fapi%2Fmedia%2Ffile%2Fparla-study-desk-cream.webp&amp;w=256&amp;q=75",4,60,80)</f>
      </c>
      <c r="B68" t="n">
        <v>512</v>
      </c>
      <c r="C68" t="inlineStr">
        <is>
          <t xml:space="preserve">published</t>
        </is>
      </c>
      <c r="D68" t="inlineStr">
        <is>
          <t xml:space="preserve">پارلا</t>
        </is>
      </c>
      <c r="F68" t="inlineStr">
        <is>
          <t xml:space="preserve">میز تحریر پارلا</t>
        </is>
      </c>
      <c r="G68" t="inlineStr">
        <is>
          <t xml:space="preserve">parla-study-desk</t>
        </is>
      </c>
      <c r="H68" t="inlineStr">
        <is>
          <t xml:space="preserve">parla-study-desk</t>
        </is>
      </c>
      <c r="I68" t="inlineStr">
        <is>
          <t xml:space="preserve">baby, bunk, double, teen</t>
        </is>
      </c>
      <c r="J68" t="n">
        <v>439820000</v>
      </c>
      <c r="L68" t="n">
        <v>14</v>
      </c>
      <c r="M68" t="n">
        <v>5</v>
      </c>
      <c r="N68" t="n">
        <v>5</v>
      </c>
      <c r="O68" t="inlineStr">
        <is>
          <t xml:space="preserve">in_stock</t>
        </is>
      </c>
      <c r="P68" t="inlineStr">
        <is>
          <t xml:space="preserve">width:120 · height:75 · depth:60</t>
        </is>
      </c>
      <c r="R68" t="inlineStr">
        <is>
          <t xml:space="preserve">میز تحریر</t>
        </is>
      </c>
      <c r="X68" t="n">
        <v>2</v>
      </c>
      <c r="Y68" t="inlineStr">
        <is>
          <t xml:space="preserve">parla-study-desk-cream.webp; parla-study-desk-green.webp</t>
        </is>
      </c>
      <c r="Z68" t="inlineStr">
        <is>
          <t xml:space="preserve">http://80.240.31.146:3000/api/media/file/parla-study-desk-cream.webp; http://80.240.31.146:3000/api/media/file/parla-study-desk-green.webp</t>
        </is>
      </c>
    </row>
    <row r="69" ht="48" customHeight="1">
      <c r="B69" t="n">
        <v>511</v>
      </c>
      <c r="C69" t="inlineStr">
        <is>
          <t xml:space="preserve">draft</t>
        </is>
      </c>
      <c r="D69" t="inlineStr">
        <is>
          <t xml:space="preserve">پارلا</t>
        </is>
      </c>
      <c r="F69" t="inlineStr">
        <is>
          <t xml:space="preserve">صندلی میز تحریر پارلا</t>
        </is>
      </c>
      <c r="G69" t="inlineStr">
        <is>
          <t xml:space="preserve">parla-study-chair</t>
        </is>
      </c>
      <c r="H69" t="inlineStr">
        <is>
          <t xml:space="preserve">parla-study-chair</t>
        </is>
      </c>
      <c r="I69" t="inlineStr">
        <is>
          <t xml:space="preserve">baby, bunk, double, teen</t>
        </is>
      </c>
      <c r="J69" t="n">
        <v>205350000</v>
      </c>
      <c r="L69" t="n">
        <v>14</v>
      </c>
      <c r="M69" t="n">
        <v>5</v>
      </c>
      <c r="N69" t="n">
        <v>5</v>
      </c>
      <c r="O69" t="inlineStr">
        <is>
          <t xml:space="preserve">in_stock</t>
        </is>
      </c>
      <c r="P69" t="inlineStr">
        <is>
          <t xml:space="preserve">width:50 · height:85 · depth:50</t>
        </is>
      </c>
      <c r="R69" t="inlineStr">
        <is>
          <t xml:space="preserve">صندلی میز تحریر</t>
        </is>
      </c>
      <c r="X69" t="n">
        <v>0</v>
      </c>
    </row>
    <row r="70" ht="48" customHeight="1">
      <c r="A70">
        <f>IMAGE("http://80.240.31.146:3000/_next/image?url=%2Fapi%2Fmedia%2Ffile%2Fparla-standing-mirror-cream.webp&amp;w=256&amp;q=75",4,60,80)</f>
      </c>
      <c r="B70" t="n">
        <v>510</v>
      </c>
      <c r="C70" t="inlineStr">
        <is>
          <t xml:space="preserve">published</t>
        </is>
      </c>
      <c r="D70" t="inlineStr">
        <is>
          <t xml:space="preserve">پارلا</t>
        </is>
      </c>
      <c r="F70" t="inlineStr">
        <is>
          <t xml:space="preserve">آینه قدی پارلا</t>
        </is>
      </c>
      <c r="G70" t="inlineStr">
        <is>
          <t xml:space="preserve">parla-standing-mirror</t>
        </is>
      </c>
      <c r="H70" t="inlineStr">
        <is>
          <t xml:space="preserve">parla-standing-mirror</t>
        </is>
      </c>
      <c r="I70" t="inlineStr">
        <is>
          <t xml:space="preserve">baby, bunk, double, teen</t>
        </is>
      </c>
      <c r="J70" t="n">
        <v>406280000</v>
      </c>
      <c r="L70" t="n">
        <v>14</v>
      </c>
      <c r="M70" t="n">
        <v>5</v>
      </c>
      <c r="N70" t="n">
        <v>5</v>
      </c>
      <c r="O70" t="inlineStr">
        <is>
          <t xml:space="preserve">in_stock</t>
        </is>
      </c>
      <c r="P70" t="inlineStr">
        <is>
          <t xml:space="preserve">width:60 · height:180 · depth:5</t>
        </is>
      </c>
      <c r="R70" t="inlineStr">
        <is>
          <t xml:space="preserve">آینه قدی</t>
        </is>
      </c>
      <c r="X70" t="n">
        <v>2</v>
      </c>
      <c r="Y70" t="inlineStr">
        <is>
          <t xml:space="preserve">parla-standing-mirror-cream.webp; parla-standing-mirror-green.webp</t>
        </is>
      </c>
      <c r="Z70" t="inlineStr">
        <is>
          <t xml:space="preserve">http://80.240.31.146:3000/api/media/file/parla-standing-mirror-cream.webp; http://80.240.31.146:3000/api/media/file/parla-standing-mirror-green.webp</t>
        </is>
      </c>
    </row>
    <row r="71" ht="48" customHeight="1">
      <c r="B71" t="n">
        <v>509</v>
      </c>
      <c r="C71" t="inlineStr">
        <is>
          <t xml:space="preserve">draft</t>
        </is>
      </c>
      <c r="D71" t="inlineStr">
        <is>
          <t xml:space="preserve">پارلا</t>
        </is>
      </c>
      <c r="F71" t="inlineStr">
        <is>
          <t xml:space="preserve">کمد ریلی پارلا</t>
        </is>
      </c>
      <c r="G71" t="inlineStr">
        <is>
          <t xml:space="preserve">parla-sliding-wardrobe</t>
        </is>
      </c>
      <c r="H71" t="inlineStr">
        <is>
          <t xml:space="preserve">parla-sliding-wardrobe</t>
        </is>
      </c>
      <c r="I71" t="inlineStr">
        <is>
          <t xml:space="preserve">baby, bunk, double, teen</t>
        </is>
      </c>
      <c r="J71" t="n">
        <v>1359930000</v>
      </c>
      <c r="L71" t="n">
        <v>14</v>
      </c>
      <c r="M71" t="n">
        <v>5</v>
      </c>
      <c r="N71" t="n">
        <v>5</v>
      </c>
      <c r="O71" t="inlineStr">
        <is>
          <t xml:space="preserve">in_stock</t>
        </is>
      </c>
      <c r="P71" t="inlineStr">
        <is>
          <t xml:space="preserve">width:220 · height:220 · depth:65</t>
        </is>
      </c>
      <c r="R71" t="inlineStr">
        <is>
          <t xml:space="preserve">کمد ریلی</t>
        </is>
      </c>
      <c r="X71" t="n">
        <v>0</v>
      </c>
    </row>
    <row r="72" ht="48" customHeight="1">
      <c r="A72">
        <f>IMAGE("http://80.240.31.146:3000/_next/image?url=%2Fapi%2Fmedia%2Ffile%2Fparla-single-bed-100-cream.webp&amp;w=256&amp;q=75",4,60,80)</f>
      </c>
      <c r="B72" t="n">
        <v>508</v>
      </c>
      <c r="C72" t="inlineStr">
        <is>
          <t xml:space="preserve">published</t>
        </is>
      </c>
      <c r="D72" t="inlineStr">
        <is>
          <t xml:space="preserve">پارلا</t>
        </is>
      </c>
      <c r="F72" t="inlineStr">
        <is>
          <t xml:space="preserve">تخت یک نفره پارلا</t>
        </is>
      </c>
      <c r="G72" t="inlineStr">
        <is>
          <t xml:space="preserve">parla-single-bed</t>
        </is>
      </c>
      <c r="H72" t="inlineStr">
        <is>
          <t xml:space="preserve">parla-single-bed</t>
        </is>
      </c>
      <c r="I72" t="inlineStr">
        <is>
          <t xml:space="preserve">baby, bunk, double, teen</t>
        </is>
      </c>
      <c r="J72" t="n">
        <v>426550000</v>
      </c>
      <c r="L72" t="n">
        <v>14</v>
      </c>
      <c r="M72" t="n">
        <v>5</v>
      </c>
      <c r="N72" t="n">
        <v>5</v>
      </c>
      <c r="O72" t="inlineStr">
        <is>
          <t xml:space="preserve">in_stock</t>
        </is>
      </c>
      <c r="P72" t="inlineStr">
        <is>
          <t xml:space="preserve">width:100 · height:110 · depth:210</t>
        </is>
      </c>
      <c r="R72" t="inlineStr">
        <is>
          <t xml:space="preserve">تخت یک نفره</t>
        </is>
      </c>
      <c r="X72" t="n">
        <v>9</v>
      </c>
      <c r="Y72" t="inlineStr">
        <is>
          <t xml:space="preserve">parla-single-bed-100-cream.webp; parla-single-bed-100-v2-cream.webp; parla-single-bed-120-cream.webp; parla-single-bed-120-v2-cream.webp; parla-single-bed-100-green.webp; parla-single-bed-100-v2-green.webp; parla-single-bed-120-green.webp; parla-single-bed-120-v2-green.webp; parla-single-bed-120-v3-green.webp</t>
        </is>
      </c>
      <c r="Z72" t="inlineStr">
        <is>
          <t xml:space="preserve">http://80.240.31.146:3000/api/media/file/parla-single-bed-100-cream.webp; http://80.240.31.146:3000/api/media/file/parla-single-bed-100-v2-cream.webp; http://80.240.31.146:3000/api/media/file/parla-single-bed-120-cream.webp; http://80.240.31.146:3000/api/media/file/parla-single-bed-120-v2-cream.webp; http://80.240.31.146:3000/api/media/file/parla-single-bed-100-green.webp; http://80.240.31.146:3000/api/media/file/parla-single-bed-100-v2-green.webp; http://80.240.31.146:3000/api/media/file/parla-single-bed-120-green.webp; http://80.240.31.146:3000/api/media/file/parla-single-bed-120-v2-green.webp; http://80.240.31.146:3000/api/media/file/parla-single-bed-120-v3-green.webp</t>
        </is>
      </c>
    </row>
    <row r="73" ht="48" customHeight="1">
      <c r="A73">
        <f>IMAGE("http://80.240.31.146:3000/_next/image?url=%2Fapi%2Fmedia%2Ffile%2Fparla-nightstand-cream.webp&amp;w=256&amp;q=75",4,60,80)</f>
      </c>
      <c r="B73" t="n">
        <v>507</v>
      </c>
      <c r="C73" t="inlineStr">
        <is>
          <t xml:space="preserve">published</t>
        </is>
      </c>
      <c r="D73" t="inlineStr">
        <is>
          <t xml:space="preserve">پارلا</t>
        </is>
      </c>
      <c r="F73" t="inlineStr">
        <is>
          <t xml:space="preserve">پاتختی پارلا</t>
        </is>
      </c>
      <c r="G73" t="inlineStr">
        <is>
          <t xml:space="preserve">parla-nightstand</t>
        </is>
      </c>
      <c r="H73" t="inlineStr">
        <is>
          <t xml:space="preserve">parla-nightstand</t>
        </is>
      </c>
      <c r="I73" t="inlineStr">
        <is>
          <t xml:space="preserve">baby, bunk, double, teen</t>
        </is>
      </c>
      <c r="J73" t="n">
        <v>203940000</v>
      </c>
      <c r="L73" t="n">
        <v>14</v>
      </c>
      <c r="M73" t="n">
        <v>5</v>
      </c>
      <c r="N73" t="n">
        <v>5</v>
      </c>
      <c r="O73" t="inlineStr">
        <is>
          <t xml:space="preserve">in_stock</t>
        </is>
      </c>
      <c r="P73" t="inlineStr">
        <is>
          <t xml:space="preserve">width:50 · height:55 · depth:40</t>
        </is>
      </c>
      <c r="R73" t="inlineStr">
        <is>
          <t xml:space="preserve">پاتختی</t>
        </is>
      </c>
      <c r="X73" t="n">
        <v>2</v>
      </c>
      <c r="Y73" t="inlineStr">
        <is>
          <t xml:space="preserve">parla-nightstand-cream.webp; parla-nightstand-green.webp</t>
        </is>
      </c>
      <c r="Z73" t="inlineStr">
        <is>
          <t xml:space="preserve">http://80.240.31.146:3000/api/media/file/parla-nightstand-cream.webp; http://80.240.31.146:3000/api/media/file/parla-nightstand-green.webp</t>
        </is>
      </c>
    </row>
    <row r="74" ht="48" customHeight="1">
      <c r="A74">
        <f>IMAGE("http://80.240.31.146:3000/_next/image?url=%2Fapi%2Fmedia%2Ffile%2Fparla-double-bed-160-cream.webp&amp;w=256&amp;q=75",4,60,80)</f>
      </c>
      <c r="B74" t="n">
        <v>506</v>
      </c>
      <c r="C74" t="inlineStr">
        <is>
          <t xml:space="preserve">published</t>
        </is>
      </c>
      <c r="D74" t="inlineStr">
        <is>
          <t xml:space="preserve">پارلا</t>
        </is>
      </c>
      <c r="F74" t="inlineStr">
        <is>
          <t xml:space="preserve">تخت دونفره پارلا</t>
        </is>
      </c>
      <c r="G74" t="inlineStr">
        <is>
          <t xml:space="preserve">parla-double-bed</t>
        </is>
      </c>
      <c r="H74" t="inlineStr">
        <is>
          <t xml:space="preserve">parla-double-bed</t>
        </is>
      </c>
      <c r="I74" t="inlineStr">
        <is>
          <t xml:space="preserve">baby, bunk, double, teen</t>
        </is>
      </c>
      <c r="J74" t="n">
        <v>581480000</v>
      </c>
      <c r="L74" t="n">
        <v>14</v>
      </c>
      <c r="M74" t="n">
        <v>5</v>
      </c>
      <c r="N74" t="n">
        <v>5</v>
      </c>
      <c r="O74" t="inlineStr">
        <is>
          <t xml:space="preserve">in_stock</t>
        </is>
      </c>
      <c r="P74" t="inlineStr">
        <is>
          <t xml:space="preserve">width:160 · height:110 · depth:215</t>
        </is>
      </c>
      <c r="R74" t="inlineStr">
        <is>
          <t xml:space="preserve">تخت دونفره</t>
        </is>
      </c>
      <c r="X74" t="n">
        <v>4</v>
      </c>
      <c r="Y74" t="inlineStr">
        <is>
          <t xml:space="preserve">parla-double-bed-160-cream.webp; parla-double-bed-160-v2-cream.webp; parla-double-bed-160-green.webp; parla-double-bed-160-v2-green.webp</t>
        </is>
      </c>
      <c r="Z74" t="inlineStr">
        <is>
          <t xml:space="preserve">http://80.240.31.146:3000/api/media/file/parla-double-bed-160-cream.webp; http://80.240.31.146:3000/api/media/file/parla-double-bed-160-v2-cream.webp; http://80.240.31.146:3000/api/media/file/parla-double-bed-160-green.webp; http://80.240.31.146:3000/api/media/file/parla-double-bed-160-v2-green.webp</t>
        </is>
      </c>
    </row>
    <row r="75" ht="48" customHeight="1">
      <c r="A75">
        <f>IMAGE("http://80.240.31.146:3000/_next/image?url=%2Fapi%2Fmedia%2Ffile%2Fparla-display-cabinet-cream.webp&amp;w=256&amp;q=75",4,60,80)</f>
      </c>
      <c r="B75" t="n">
        <v>505</v>
      </c>
      <c r="C75" t="inlineStr">
        <is>
          <t xml:space="preserve">published</t>
        </is>
      </c>
      <c r="D75" t="inlineStr">
        <is>
          <t xml:space="preserve">پارلا</t>
        </is>
      </c>
      <c r="F75" t="inlineStr">
        <is>
          <t xml:space="preserve">ویترین پارلا</t>
        </is>
      </c>
      <c r="G75" t="inlineStr">
        <is>
          <t xml:space="preserve">parla-display-cabinet</t>
        </is>
      </c>
      <c r="H75" t="inlineStr">
        <is>
          <t xml:space="preserve">parla-display-cabinet</t>
        </is>
      </c>
      <c r="I75" t="inlineStr">
        <is>
          <t xml:space="preserve">baby, bunk, double, teen</t>
        </is>
      </c>
      <c r="J75" t="n">
        <v>558170000</v>
      </c>
      <c r="L75" t="n">
        <v>14</v>
      </c>
      <c r="M75" t="n">
        <v>5</v>
      </c>
      <c r="N75" t="n">
        <v>5</v>
      </c>
      <c r="O75" t="inlineStr">
        <is>
          <t xml:space="preserve">in_stock</t>
        </is>
      </c>
      <c r="P75" t="inlineStr">
        <is>
          <t xml:space="preserve">width:100 · height:180 · depth:40</t>
        </is>
      </c>
      <c r="R75" t="inlineStr">
        <is>
          <t xml:space="preserve">ویترین</t>
        </is>
      </c>
      <c r="X75" t="n">
        <v>2</v>
      </c>
      <c r="Y75" t="inlineStr">
        <is>
          <t xml:space="preserve">parla-display-cabinet-cream.webp; parla-display-cabinet-green.webp</t>
        </is>
      </c>
      <c r="Z75" t="inlineStr">
        <is>
          <t xml:space="preserve">http://80.240.31.146:3000/api/media/file/parla-display-cabinet-cream.webp; http://80.240.31.146:3000/api/media/file/parla-display-cabinet-green.webp</t>
        </is>
      </c>
    </row>
    <row r="76" ht="48" customHeight="1">
      <c r="A76">
        <f>IMAGE("http://80.240.31.146:3000/_next/image?url=%2Fapi%2Fmedia%2Ffile%2Fparla-convertible-bed-teen-cream.webp&amp;w=256&amp;q=75",4,60,80)</f>
      </c>
      <c r="B76" t="n">
        <v>504</v>
      </c>
      <c r="C76" t="inlineStr">
        <is>
          <t xml:space="preserve">draft</t>
        </is>
      </c>
      <c r="D76" t="inlineStr">
        <is>
          <t xml:space="preserve">پارلا</t>
        </is>
      </c>
      <c r="F76" t="inlineStr">
        <is>
          <t xml:space="preserve">تخت نوزاد دومنظوره پارلا</t>
        </is>
      </c>
      <c r="G76" t="inlineStr">
        <is>
          <t xml:space="preserve">parla-convertible-bed</t>
        </is>
      </c>
      <c r="H76" t="inlineStr">
        <is>
          <t xml:space="preserve">parla-convertible-bed</t>
        </is>
      </c>
      <c r="I76" t="inlineStr">
        <is>
          <t xml:space="preserve">baby, bunk, double, teen</t>
        </is>
      </c>
      <c r="J76" t="n">
        <v>0</v>
      </c>
      <c r="L76" t="n">
        <v>14</v>
      </c>
      <c r="M76" t="n">
        <v>5</v>
      </c>
      <c r="N76" t="n">
        <v>5</v>
      </c>
      <c r="O76" t="inlineStr">
        <is>
          <t xml:space="preserve">made_to_order</t>
        </is>
      </c>
      <c r="P76" t="inlineStr">
        <is>
          <t xml:space="preserve">width:90 · height:105 · depth:195</t>
        </is>
      </c>
      <c r="R76" t="inlineStr">
        <is>
          <t xml:space="preserve">تخت نوزاد دومظوره (نوزاد نوجوان، کاناپه ای)</t>
        </is>
      </c>
      <c r="X76" t="n">
        <v>3</v>
      </c>
      <c r="Y76" t="inlineStr">
        <is>
          <t xml:space="preserve">parla-convertible-bed-teen-cream.webp; parla-convertible-bed-teen-green.webp; parla-convertible-bed-teen-v2-green.webp</t>
        </is>
      </c>
      <c r="Z76" t="inlineStr">
        <is>
          <t xml:space="preserve">http://80.240.31.146:3000/api/media/file/parla-convertible-bed-teen-cream.webp; http://80.240.31.146:3000/api/media/file/parla-convertible-bed-teen-green.webp; http://80.240.31.146:3000/api/media/file/parla-convertible-bed-teen-v2-green.webp</t>
        </is>
      </c>
    </row>
    <row r="77" ht="48" customHeight="1">
      <c r="A77">
        <f>IMAGE("http://80.240.31.146:3000/_next/image?url=%2Fapi%2Fmedia%2Ffile%2Fparla-combined-wardrobe-cream.webp&amp;w=256&amp;q=75",4,60,80)</f>
      </c>
      <c r="B77" t="n">
        <v>503</v>
      </c>
      <c r="C77" t="inlineStr">
        <is>
          <t xml:space="preserve">published</t>
        </is>
      </c>
      <c r="D77" t="inlineStr">
        <is>
          <t xml:space="preserve">پارلا</t>
        </is>
      </c>
      <c r="F77" t="inlineStr">
        <is>
          <t xml:space="preserve">کمد ترکیبی پارلا</t>
        </is>
      </c>
      <c r="G77" t="inlineStr">
        <is>
          <t xml:space="preserve">parla-combined-wardrobe</t>
        </is>
      </c>
      <c r="H77" t="inlineStr">
        <is>
          <t xml:space="preserve">parla-combined-wardrobe</t>
        </is>
      </c>
      <c r="I77" t="inlineStr">
        <is>
          <t xml:space="preserve">baby, bunk, double, teen</t>
        </is>
      </c>
      <c r="J77" t="n">
        <v>758310000</v>
      </c>
      <c r="L77" t="n">
        <v>14</v>
      </c>
      <c r="M77" t="n">
        <v>5</v>
      </c>
      <c r="N77" t="n">
        <v>5</v>
      </c>
      <c r="O77" t="inlineStr">
        <is>
          <t xml:space="preserve">in_stock</t>
        </is>
      </c>
      <c r="P77" t="inlineStr">
        <is>
          <t xml:space="preserve">width:120 · height:220 · depth:60</t>
        </is>
      </c>
      <c r="R77" t="inlineStr">
        <is>
          <t xml:space="preserve">کمد</t>
        </is>
      </c>
      <c r="X77" t="n">
        <v>2</v>
      </c>
      <c r="Y77" t="inlineStr">
        <is>
          <t xml:space="preserve">parla-combined-wardrobe-cream.webp; parla-combined-wardrobe-green.webp</t>
        </is>
      </c>
      <c r="Z77" t="inlineStr">
        <is>
          <t xml:space="preserve">http://80.240.31.146:3000/api/media/file/parla-combined-wardrobe-cream.webp; http://80.240.31.146:3000/api/media/file/parla-combined-wardrobe-green.webp</t>
        </is>
      </c>
    </row>
    <row r="78" ht="48" customHeight="1">
      <c r="A78">
        <f>IMAGE("http://80.240.31.146:3000/_next/image?url=%2Fapi%2Fmedia%2Ffile%2Fparla-changing-table-cream.webp&amp;w=256&amp;q=75",4,60,80)</f>
      </c>
      <c r="B78" t="n">
        <v>502</v>
      </c>
      <c r="C78" t="inlineStr">
        <is>
          <t xml:space="preserve">published</t>
        </is>
      </c>
      <c r="D78" t="inlineStr">
        <is>
          <t xml:space="preserve">پارلا</t>
        </is>
      </c>
      <c r="F78" t="inlineStr">
        <is>
          <t xml:space="preserve">میز تعویض پارلا</t>
        </is>
      </c>
      <c r="G78" t="inlineStr">
        <is>
          <t xml:space="preserve">parla-changing-table</t>
        </is>
      </c>
      <c r="H78" t="inlineStr">
        <is>
          <t xml:space="preserve">parla-changing-table</t>
        </is>
      </c>
      <c r="I78" t="inlineStr">
        <is>
          <t xml:space="preserve">baby, bunk, double, teen</t>
        </is>
      </c>
      <c r="J78" t="n">
        <v>546380000</v>
      </c>
      <c r="L78" t="n">
        <v>14</v>
      </c>
      <c r="M78" t="n">
        <v>5</v>
      </c>
      <c r="N78" t="n">
        <v>5</v>
      </c>
      <c r="O78" t="inlineStr">
        <is>
          <t xml:space="preserve">in_stock</t>
        </is>
      </c>
      <c r="P78" t="inlineStr">
        <is>
          <t xml:space="preserve">width:80 · height:95 · depth:50</t>
        </is>
      </c>
      <c r="R78" t="inlineStr">
        <is>
          <t xml:space="preserve">میز تعویض</t>
        </is>
      </c>
      <c r="X78" t="n">
        <v>2</v>
      </c>
      <c r="Y78" t="inlineStr">
        <is>
          <t xml:space="preserve">parla-changing-table-cream.webp; parla-changing-table-green.webp</t>
        </is>
      </c>
      <c r="Z78" t="inlineStr">
        <is>
          <t xml:space="preserve">http://80.240.31.146:3000/api/media/file/parla-changing-table-cream.webp; http://80.240.31.146:3000/api/media/file/parla-changing-table-green.webp</t>
        </is>
      </c>
    </row>
    <row r="79" ht="48" customHeight="1">
      <c r="A79">
        <f>IMAGE("http://80.240.31.146:3000/_next/image?url=%2Fapi%2Fmedia%2Ffile%2Fparla-bunk-bed-full-cream.webp&amp;w=256&amp;q=75",4,60,80)</f>
      </c>
      <c r="B79" t="n">
        <v>501</v>
      </c>
      <c r="C79" t="inlineStr">
        <is>
          <t xml:space="preserve">published</t>
        </is>
      </c>
      <c r="D79" t="inlineStr">
        <is>
          <t xml:space="preserve">پارلا</t>
        </is>
      </c>
      <c r="F79" t="inlineStr">
        <is>
          <t xml:space="preserve">تخت دوطبقه پارلا</t>
        </is>
      </c>
      <c r="G79" t="inlineStr">
        <is>
          <t xml:space="preserve">parla-bunk-bed</t>
        </is>
      </c>
      <c r="H79" t="inlineStr">
        <is>
          <t xml:space="preserve">parla-bunk-bed</t>
        </is>
      </c>
      <c r="I79" t="inlineStr">
        <is>
          <t xml:space="preserve">baby, bunk, double, teen</t>
        </is>
      </c>
      <c r="J79" t="n">
        <v>969680000</v>
      </c>
      <c r="L79" t="n">
        <v>14</v>
      </c>
      <c r="M79" t="n">
        <v>5</v>
      </c>
      <c r="N79" t="n">
        <v>5</v>
      </c>
      <c r="O79" t="inlineStr">
        <is>
          <t xml:space="preserve">in_stock</t>
        </is>
      </c>
      <c r="P79" t="inlineStr">
        <is>
          <t xml:space="preserve">width:100 · height:170 · depth:210</t>
        </is>
      </c>
      <c r="R79" t="inlineStr">
        <is>
          <t xml:space="preserve">تخت دوطبقه</t>
        </is>
      </c>
      <c r="X79" t="n">
        <v>2</v>
      </c>
      <c r="Y79" t="inlineStr">
        <is>
          <t xml:space="preserve">parla-bunk-bed-full-cream.webp; parla-bunk-bed-full-green.webp</t>
        </is>
      </c>
      <c r="Z79" t="inlineStr">
        <is>
          <t xml:space="preserve">http://80.240.31.146:3000/api/media/file/parla-bunk-bed-full-cream.webp; http://80.240.31.146:3000/api/media/file/parla-bunk-bed-full-green.webp</t>
        </is>
      </c>
    </row>
    <row r="80" ht="48" customHeight="1">
      <c r="A80">
        <f>IMAGE("http://80.240.31.146:3000/_next/image?url=%2Fapi%2Fmedia%2Ffile%2Fparla-bookcase-cream.webp&amp;w=256&amp;q=75",4,60,80)</f>
      </c>
      <c r="B80" t="n">
        <v>500</v>
      </c>
      <c r="C80" t="inlineStr">
        <is>
          <t xml:space="preserve">published</t>
        </is>
      </c>
      <c r="D80" t="inlineStr">
        <is>
          <t xml:space="preserve">پارلا</t>
        </is>
      </c>
      <c r="F80" t="inlineStr">
        <is>
          <t xml:space="preserve">کتابخانه پارلا</t>
        </is>
      </c>
      <c r="G80" t="inlineStr">
        <is>
          <t xml:space="preserve">parla-bookcase</t>
        </is>
      </c>
      <c r="H80" t="inlineStr">
        <is>
          <t xml:space="preserve">parla-bookcase</t>
        </is>
      </c>
      <c r="I80" t="inlineStr">
        <is>
          <t xml:space="preserve">baby, bunk, double, teen</t>
        </is>
      </c>
      <c r="J80" t="n">
        <v>552950000</v>
      </c>
      <c r="L80" t="n">
        <v>14</v>
      </c>
      <c r="M80" t="n">
        <v>5</v>
      </c>
      <c r="N80" t="n">
        <v>5</v>
      </c>
      <c r="O80" t="inlineStr">
        <is>
          <t xml:space="preserve">in_stock</t>
        </is>
      </c>
      <c r="P80" t="inlineStr">
        <is>
          <t xml:space="preserve">width:80 · height:200 · depth:35</t>
        </is>
      </c>
      <c r="R80" t="inlineStr">
        <is>
          <t xml:space="preserve">کتابخانه</t>
        </is>
      </c>
      <c r="X80" t="n">
        <v>2</v>
      </c>
      <c r="Y80" t="inlineStr">
        <is>
          <t xml:space="preserve">parla-bookcase-cream.webp; parla-bookcase-green.webp</t>
        </is>
      </c>
      <c r="Z80" t="inlineStr">
        <is>
          <t xml:space="preserve">http://80.240.31.146:3000/api/media/file/parla-bookcase-cream.webp; http://80.240.31.146:3000/api/media/file/parla-bookcase-green.webp</t>
        </is>
      </c>
    </row>
    <row r="81" ht="48" customHeight="1">
      <c r="B81" t="n">
        <v>499</v>
      </c>
      <c r="C81" t="inlineStr">
        <is>
          <t xml:space="preserve">draft</t>
        </is>
      </c>
      <c r="D81" t="inlineStr">
        <is>
          <t xml:space="preserve">پارلا</t>
        </is>
      </c>
      <c r="F81" t="inlineStr">
        <is>
          <t xml:space="preserve">حفاظ تخت پارلا</t>
        </is>
      </c>
      <c r="G81" t="inlineStr">
        <is>
          <t xml:space="preserve">parla-bed-guard</t>
        </is>
      </c>
      <c r="H81" t="inlineStr">
        <is>
          <t xml:space="preserve">parla-bed-guard</t>
        </is>
      </c>
      <c r="I81" t="inlineStr">
        <is>
          <t xml:space="preserve">baby, bunk, double, teen</t>
        </is>
      </c>
      <c r="J81" t="n">
        <v>0</v>
      </c>
      <c r="L81" t="n">
        <v>14</v>
      </c>
      <c r="M81" t="n">
        <v>5</v>
      </c>
      <c r="N81" t="n">
        <v>5</v>
      </c>
      <c r="O81" t="inlineStr">
        <is>
          <t xml:space="preserve">made_to_order</t>
        </is>
      </c>
      <c r="P81" t="inlineStr">
        <is>
          <t xml:space="preserve">width:120 · height:110 · depth:210</t>
        </is>
      </c>
      <c r="R81" t="inlineStr">
        <is>
          <t xml:space="preserve">حفاظ تخت</t>
        </is>
      </c>
      <c r="X81" t="n">
        <v>0</v>
      </c>
    </row>
    <row r="82" ht="48" customHeight="1">
      <c r="A82">
        <f>IMAGE("http://80.240.31.146:3000/_next/image?url=%2Fapi%2Fmedia%2Ffile%2Fparla-baby-bed-box-cream-cream.webp&amp;w=256&amp;q=75",4,60,80)</f>
      </c>
      <c r="B82" t="n">
        <v>498</v>
      </c>
      <c r="C82" t="inlineStr">
        <is>
          <t xml:space="preserve">published</t>
        </is>
      </c>
      <c r="D82" t="inlineStr">
        <is>
          <t xml:space="preserve">پارلا</t>
        </is>
      </c>
      <c r="F82" t="inlineStr">
        <is>
          <t xml:space="preserve">باکس تخت پارلا</t>
        </is>
      </c>
      <c r="G82" t="inlineStr">
        <is>
          <t xml:space="preserve">parla-bed-box</t>
        </is>
      </c>
      <c r="H82" t="inlineStr">
        <is>
          <t xml:space="preserve">parla-bed-box</t>
        </is>
      </c>
      <c r="I82" t="inlineStr">
        <is>
          <t xml:space="preserve">baby, bunk, double, teen</t>
        </is>
      </c>
      <c r="J82" t="n">
        <v>392180000</v>
      </c>
      <c r="L82" t="n">
        <v>14</v>
      </c>
      <c r="M82" t="n">
        <v>5</v>
      </c>
      <c r="N82" t="n">
        <v>5</v>
      </c>
      <c r="O82" t="inlineStr">
        <is>
          <t xml:space="preserve">in_stock</t>
        </is>
      </c>
      <c r="P82" t="inlineStr">
        <is>
          <t xml:space="preserve">width:120 · height:110 · depth:210</t>
        </is>
      </c>
      <c r="R82" t="inlineStr">
        <is>
          <t xml:space="preserve">باکس تخت</t>
        </is>
      </c>
      <c r="X82" t="n">
        <v>4</v>
      </c>
      <c r="Y82" t="inlineStr">
        <is>
          <t xml:space="preserve">parla-baby-bed-box-cream-cream.webp; parla-baby-bed-box-cream.webp; parla-bed-box-cream.webp; parla-bed-box-green.webp</t>
        </is>
      </c>
      <c r="Z82" t="inlineStr">
        <is>
          <t xml:space="preserve">http://80.240.31.146:3000/api/media/file/parla-baby-bed-box-cream-cream.webp; http://80.240.31.146:3000/api/media/file/parla-baby-bed-box-cream.webp; http://80.240.31.146:3000/api/media/file/parla-bed-box-cream.webp; http://80.240.31.146:3000/api/media/file/parla-bed-box-green.webp</t>
        </is>
      </c>
    </row>
    <row r="83" ht="48" customHeight="1">
      <c r="B83" t="n">
        <v>497</v>
      </c>
      <c r="C83" t="inlineStr">
        <is>
          <t xml:space="preserve">draft</t>
        </is>
      </c>
      <c r="D83" t="inlineStr">
        <is>
          <t xml:space="preserve">نیکان</t>
        </is>
      </c>
      <c r="F83" t="inlineStr">
        <is>
          <t xml:space="preserve">کمد نیکان</t>
        </is>
      </c>
      <c r="G83" t="inlineStr">
        <is>
          <t xml:space="preserve">nikan-wardrobe</t>
        </is>
      </c>
      <c r="H83" t="inlineStr">
        <is>
          <t xml:space="preserve">nikan-wardrobe</t>
        </is>
      </c>
      <c r="I83" t="inlineStr">
        <is>
          <t xml:space="preserve">bunk</t>
        </is>
      </c>
      <c r="J83" t="n">
        <v>308900000</v>
      </c>
      <c r="L83" t="n">
        <v>14</v>
      </c>
      <c r="M83" t="n">
        <v>5</v>
      </c>
      <c r="N83" t="n">
        <v>5</v>
      </c>
      <c r="O83" t="inlineStr">
        <is>
          <t xml:space="preserve">in_stock</t>
        </is>
      </c>
      <c r="P83" t="inlineStr">
        <is>
          <t xml:space="preserve">width:120 · height:220 · depth:60</t>
        </is>
      </c>
      <c r="R83" t="inlineStr">
        <is>
          <t xml:space="preserve">کمد</t>
        </is>
      </c>
      <c r="X83" t="n">
        <v>0</v>
      </c>
    </row>
    <row r="84" ht="48" customHeight="1">
      <c r="B84" t="n">
        <v>496</v>
      </c>
      <c r="C84" t="inlineStr">
        <is>
          <t xml:space="preserve">draft</t>
        </is>
      </c>
      <c r="D84" t="inlineStr">
        <is>
          <t xml:space="preserve">نیکان</t>
        </is>
      </c>
      <c r="F84" t="inlineStr">
        <is>
          <t xml:space="preserve">میز تحریر نیکان</t>
        </is>
      </c>
      <c r="G84" t="inlineStr">
        <is>
          <t xml:space="preserve">nikan-study-desk</t>
        </is>
      </c>
      <c r="H84" t="inlineStr">
        <is>
          <t xml:space="preserve">nikan-study-desk</t>
        </is>
      </c>
      <c r="I84" t="inlineStr">
        <is>
          <t xml:space="preserve">bunk</t>
        </is>
      </c>
      <c r="J84" t="n">
        <v>251750000</v>
      </c>
      <c r="L84" t="n">
        <v>14</v>
      </c>
      <c r="M84" t="n">
        <v>5</v>
      </c>
      <c r="N84" t="n">
        <v>5</v>
      </c>
      <c r="O84" t="inlineStr">
        <is>
          <t xml:space="preserve">in_stock</t>
        </is>
      </c>
      <c r="P84" t="inlineStr">
        <is>
          <t xml:space="preserve">width:120 · height:75 · depth:60</t>
        </is>
      </c>
      <c r="R84" t="inlineStr">
        <is>
          <t xml:space="preserve">میز تحریر</t>
        </is>
      </c>
      <c r="X84" t="n">
        <v>0</v>
      </c>
    </row>
    <row r="85" ht="48" customHeight="1">
      <c r="B85" t="n">
        <v>495</v>
      </c>
      <c r="C85" t="inlineStr">
        <is>
          <t xml:space="preserve">draft</t>
        </is>
      </c>
      <c r="D85" t="inlineStr">
        <is>
          <t xml:space="preserve">نیکان</t>
        </is>
      </c>
      <c r="F85" t="inlineStr">
        <is>
          <t xml:space="preserve">تخت دوطبقه نیکان</t>
        </is>
      </c>
      <c r="G85" t="inlineStr">
        <is>
          <t xml:space="preserve">nikan-bunk-bed</t>
        </is>
      </c>
      <c r="H85" t="inlineStr">
        <is>
          <t xml:space="preserve">nikan-bunk-bed</t>
        </is>
      </c>
      <c r="I85" t="inlineStr">
        <is>
          <t xml:space="preserve">bunk</t>
        </is>
      </c>
      <c r="J85" t="n">
        <v>1203380000</v>
      </c>
      <c r="L85" t="n">
        <v>14</v>
      </c>
      <c r="M85" t="n">
        <v>5</v>
      </c>
      <c r="N85" t="n">
        <v>5</v>
      </c>
      <c r="O85" t="inlineStr">
        <is>
          <t xml:space="preserve">in_stock</t>
        </is>
      </c>
      <c r="P85" t="inlineStr">
        <is>
          <t xml:space="preserve">width:100 · height:170 · depth:210</t>
        </is>
      </c>
      <c r="R85" t="inlineStr">
        <is>
          <t xml:space="preserve">تخت دوطبقه</t>
        </is>
      </c>
      <c r="X85" t="n">
        <v>0</v>
      </c>
    </row>
    <row r="86" ht="48" customHeight="1">
      <c r="A86">
        <f>IMAGE("http://80.240.31.146:3000/_next/image?url=%2Fapi%2Fmedia%2Ffile%2Fmocha-wardrobe-2-doors-mdf.webp&amp;w=256&amp;q=75",4,60,80)</f>
      </c>
      <c r="B86" t="n">
        <v>494</v>
      </c>
      <c r="C86" t="inlineStr">
        <is>
          <t xml:space="preserve">published</t>
        </is>
      </c>
      <c r="D86" t="inlineStr">
        <is>
          <t xml:space="preserve">موکا</t>
        </is>
      </c>
      <c r="F86" t="inlineStr">
        <is>
          <t xml:space="preserve">کمد موکا</t>
        </is>
      </c>
      <c r="G86" t="inlineStr">
        <is>
          <t xml:space="preserve">mocha-wardrobe</t>
        </is>
      </c>
      <c r="H86" t="inlineStr">
        <is>
          <t xml:space="preserve">mocha-wardrobe</t>
        </is>
      </c>
      <c r="I86" t="inlineStr">
        <is>
          <t xml:space="preserve">teen</t>
        </is>
      </c>
      <c r="J86" t="n">
        <v>723590000</v>
      </c>
      <c r="L86" t="n">
        <v>14</v>
      </c>
      <c r="M86" t="n">
        <v>5</v>
      </c>
      <c r="N86" t="n">
        <v>5</v>
      </c>
      <c r="O86" t="inlineStr">
        <is>
          <t xml:space="preserve">in_stock</t>
        </is>
      </c>
      <c r="P86" t="inlineStr">
        <is>
          <t xml:space="preserve">width:120 · height:220 · depth:60</t>
        </is>
      </c>
      <c r="R86" t="inlineStr">
        <is>
          <t xml:space="preserve">کمد</t>
        </is>
      </c>
      <c r="X86" t="n">
        <v>2</v>
      </c>
      <c r="Y86" t="inlineStr">
        <is>
          <t xml:space="preserve">mocha-wardrobe-2-doors-mdf.webp; mocha-wardrobe-3-doors-mdf.webp</t>
        </is>
      </c>
      <c r="Z86" t="inlineStr">
        <is>
          <t xml:space="preserve">http://80.240.31.146:3000/api/media/file/mocha-wardrobe-2-doors-mdf.webp; http://80.240.31.146:3000/api/media/file/mocha-wardrobe-3-doors-mdf.webp</t>
        </is>
      </c>
    </row>
    <row r="87" ht="48" customHeight="1">
      <c r="B87" t="n">
        <v>493</v>
      </c>
      <c r="C87" t="inlineStr">
        <is>
          <t xml:space="preserve">draft</t>
        </is>
      </c>
      <c r="D87" t="inlineStr">
        <is>
          <t xml:space="preserve">موکا</t>
        </is>
      </c>
      <c r="F87" t="inlineStr">
        <is>
          <t xml:space="preserve">صندلی میز آرایش موکا</t>
        </is>
      </c>
      <c r="G87" t="inlineStr">
        <is>
          <t xml:space="preserve">mocha-vanity-chair</t>
        </is>
      </c>
      <c r="H87" t="inlineStr">
        <is>
          <t xml:space="preserve">mocha-vanity-chair</t>
        </is>
      </c>
      <c r="I87" t="inlineStr">
        <is>
          <t xml:space="preserve">teen</t>
        </is>
      </c>
      <c r="J87" t="n">
        <v>148760000</v>
      </c>
      <c r="L87" t="n">
        <v>14</v>
      </c>
      <c r="M87" t="n">
        <v>5</v>
      </c>
      <c r="N87" t="n">
        <v>5</v>
      </c>
      <c r="O87" t="inlineStr">
        <is>
          <t xml:space="preserve">in_stock</t>
        </is>
      </c>
      <c r="P87" t="inlineStr">
        <is>
          <t xml:space="preserve">width:100 · height:78 · depth:45</t>
        </is>
      </c>
      <c r="R87" t="inlineStr">
        <is>
          <t xml:space="preserve">صندلی میز آرایش</t>
        </is>
      </c>
      <c r="X87" t="n">
        <v>0</v>
      </c>
    </row>
    <row r="88" ht="48" customHeight="1">
      <c r="A88">
        <f>IMAGE("http://80.240.31.146:3000/_next/image?url=%2Fapi%2Fmedia%2Ffile%2Fmocha-vanity-3-drawers-chair.webp&amp;w=256&amp;q=75",4,60,80)</f>
      </c>
      <c r="B88" t="n">
        <v>492</v>
      </c>
      <c r="C88" t="inlineStr">
        <is>
          <t xml:space="preserve">published</t>
        </is>
      </c>
      <c r="D88" t="inlineStr">
        <is>
          <t xml:space="preserve">موکا</t>
        </is>
      </c>
      <c r="F88" t="inlineStr">
        <is>
          <t xml:space="preserve">میز آرایش موکا</t>
        </is>
      </c>
      <c r="G88" t="inlineStr">
        <is>
          <t xml:space="preserve">mocha-vanity</t>
        </is>
      </c>
      <c r="H88" t="inlineStr">
        <is>
          <t xml:space="preserve">mocha-vanity</t>
        </is>
      </c>
      <c r="I88" t="inlineStr">
        <is>
          <t xml:space="preserve">teen</t>
        </is>
      </c>
      <c r="J88" t="n">
        <v>498620000</v>
      </c>
      <c r="L88" t="n">
        <v>14</v>
      </c>
      <c r="M88" t="n">
        <v>5</v>
      </c>
      <c r="N88" t="n">
        <v>5</v>
      </c>
      <c r="O88" t="inlineStr">
        <is>
          <t xml:space="preserve">in_stock</t>
        </is>
      </c>
      <c r="P88" t="inlineStr">
        <is>
          <t xml:space="preserve">width:100 · height:78 · depth:45</t>
        </is>
      </c>
      <c r="R88" t="inlineStr">
        <is>
          <t xml:space="preserve">میز آرایش</t>
        </is>
      </c>
      <c r="X88" t="n">
        <v>3</v>
      </c>
      <c r="Y88" t="inlineStr">
        <is>
          <t xml:space="preserve">mocha-vanity-3-drawers-chair.webp; mocha-vanity-3-drawers-v2.webp; mocha-vanity-3-drawers.webp</t>
        </is>
      </c>
      <c r="Z88" t="inlineStr">
        <is>
          <t xml:space="preserve">http://80.240.31.146:3000/api/media/file/mocha-vanity-3-drawers-chair.webp; http://80.240.31.146:3000/api/media/file/mocha-vanity-3-drawers-v2.webp; http://80.240.31.146:3000/api/media/file/mocha-vanity-3-drawers.webp</t>
        </is>
      </c>
    </row>
    <row r="89" ht="48" customHeight="1">
      <c r="A89">
        <f>IMAGE("http://80.240.31.146:3000/_next/image?url=%2Fapi%2Fmedia%2Ffile%2Fmocha-table-mirror.webp&amp;w=256&amp;q=75",4,60,80)</f>
      </c>
      <c r="B89" t="n">
        <v>491</v>
      </c>
      <c r="C89" t="inlineStr">
        <is>
          <t xml:space="preserve">published</t>
        </is>
      </c>
      <c r="D89" t="inlineStr">
        <is>
          <t xml:space="preserve">موکا</t>
        </is>
      </c>
      <c r="F89" t="inlineStr">
        <is>
          <t xml:space="preserve">آینه رومیزی موکا</t>
        </is>
      </c>
      <c r="G89" t="inlineStr">
        <is>
          <t xml:space="preserve">mocha-table-mirror</t>
        </is>
      </c>
      <c r="H89" t="inlineStr">
        <is>
          <t xml:space="preserve">mocha-table-mirror</t>
        </is>
      </c>
      <c r="I89" t="inlineStr">
        <is>
          <t xml:space="preserve">teen</t>
        </is>
      </c>
      <c r="J89" t="n">
        <v>84530000</v>
      </c>
      <c r="L89" t="n">
        <v>14</v>
      </c>
      <c r="M89" t="n">
        <v>5</v>
      </c>
      <c r="N89" t="n">
        <v>5</v>
      </c>
      <c r="O89" t="inlineStr">
        <is>
          <t xml:space="preserve">in_stock</t>
        </is>
      </c>
      <c r="P89" t="inlineStr">
        <is>
          <t xml:space="preserve">width:60 · height:70 · depth:5</t>
        </is>
      </c>
      <c r="R89" t="inlineStr">
        <is>
          <t xml:space="preserve">آینه رومیزی</t>
        </is>
      </c>
      <c r="X89" t="n">
        <v>1</v>
      </c>
      <c r="Y89" t="inlineStr">
        <is>
          <t xml:space="preserve">mocha-table-mirror.webp</t>
        </is>
      </c>
      <c r="Z89" t="inlineStr">
        <is>
          <t xml:space="preserve">http://80.240.31.146:3000/api/media/file/mocha-table-mirror.webp</t>
        </is>
      </c>
    </row>
    <row r="90" ht="48" customHeight="1">
      <c r="A90">
        <f>IMAGE("http://80.240.31.146:3000/_next/image?url=%2Fapi%2Fmedia%2Ffile%2Fmocha-study-desk.webp&amp;w=256&amp;q=75",4,60,80)</f>
      </c>
      <c r="B90" t="n">
        <v>490</v>
      </c>
      <c r="C90" t="inlineStr">
        <is>
          <t xml:space="preserve">published</t>
        </is>
      </c>
      <c r="D90" t="inlineStr">
        <is>
          <t xml:space="preserve">موکا</t>
        </is>
      </c>
      <c r="F90" t="inlineStr">
        <is>
          <t xml:space="preserve">میز تحریر موکا</t>
        </is>
      </c>
      <c r="G90" t="inlineStr">
        <is>
          <t xml:space="preserve">mocha-study-desk</t>
        </is>
      </c>
      <c r="H90" t="inlineStr">
        <is>
          <t xml:space="preserve">mocha-study-desk</t>
        </is>
      </c>
      <c r="I90" t="inlineStr">
        <is>
          <t xml:space="preserve">teen</t>
        </is>
      </c>
      <c r="J90" t="n">
        <v>429920000</v>
      </c>
      <c r="L90" t="n">
        <v>14</v>
      </c>
      <c r="M90" t="n">
        <v>5</v>
      </c>
      <c r="N90" t="n">
        <v>5</v>
      </c>
      <c r="O90" t="inlineStr">
        <is>
          <t xml:space="preserve">in_stock</t>
        </is>
      </c>
      <c r="P90" t="inlineStr">
        <is>
          <t xml:space="preserve">width:120 · height:75 · depth:60</t>
        </is>
      </c>
      <c r="R90" t="inlineStr">
        <is>
          <t xml:space="preserve">میز تحریر</t>
        </is>
      </c>
      <c r="X90" t="n">
        <v>1</v>
      </c>
      <c r="Y90" t="inlineStr">
        <is>
          <t xml:space="preserve">mocha-study-desk.webp</t>
        </is>
      </c>
      <c r="Z90" t="inlineStr">
        <is>
          <t xml:space="preserve">http://80.240.31.146:3000/api/media/file/mocha-study-desk.webp</t>
        </is>
      </c>
    </row>
    <row r="91" ht="48" customHeight="1">
      <c r="A91">
        <f>IMAGE("http://80.240.31.146:3000/_next/image?url=%2Fapi%2Fmedia%2Ffile%2Fmocha-study-chair.webp&amp;w=256&amp;q=75",4,60,80)</f>
      </c>
      <c r="B91" t="n">
        <v>489</v>
      </c>
      <c r="C91" t="inlineStr">
        <is>
          <t xml:space="preserve">published</t>
        </is>
      </c>
      <c r="D91" t="inlineStr">
        <is>
          <t xml:space="preserve">موکا</t>
        </is>
      </c>
      <c r="F91" t="inlineStr">
        <is>
          <t xml:space="preserve">صندلی میز تحریر موکا</t>
        </is>
      </c>
      <c r="G91" t="inlineStr">
        <is>
          <t xml:space="preserve">mocha-study-chair</t>
        </is>
      </c>
      <c r="H91" t="inlineStr">
        <is>
          <t xml:space="preserve">mocha-study-chair</t>
        </is>
      </c>
      <c r="I91" t="inlineStr">
        <is>
          <t xml:space="preserve">teen</t>
        </is>
      </c>
      <c r="J91" t="n">
        <v>227370000</v>
      </c>
      <c r="L91" t="n">
        <v>14</v>
      </c>
      <c r="M91" t="n">
        <v>5</v>
      </c>
      <c r="N91" t="n">
        <v>5</v>
      </c>
      <c r="O91" t="inlineStr">
        <is>
          <t xml:space="preserve">in_stock</t>
        </is>
      </c>
      <c r="P91" t="inlineStr">
        <is>
          <t xml:space="preserve">width:50 · height:85 · depth:50</t>
        </is>
      </c>
      <c r="R91" t="inlineStr">
        <is>
          <t xml:space="preserve">صندلی میز تحریر</t>
        </is>
      </c>
      <c r="X91" t="n">
        <v>1</v>
      </c>
      <c r="Y91" t="inlineStr">
        <is>
          <t xml:space="preserve">mocha-study-chair.webp</t>
        </is>
      </c>
      <c r="Z91" t="inlineStr">
        <is>
          <t xml:space="preserve">http://80.240.31.146:3000/api/media/file/mocha-study-chair.webp</t>
        </is>
      </c>
    </row>
    <row r="92" ht="48" customHeight="1">
      <c r="A92">
        <f>IMAGE("http://80.240.31.146:3000/_next/image?url=%2Fapi%2Fmedia%2Ffile%2Fmocha-standing-mirror.webp&amp;w=256&amp;q=75",4,60,80)</f>
      </c>
      <c r="B92" t="n">
        <v>488</v>
      </c>
      <c r="C92" t="inlineStr">
        <is>
          <t xml:space="preserve">published</t>
        </is>
      </c>
      <c r="D92" t="inlineStr">
        <is>
          <t xml:space="preserve">موکا</t>
        </is>
      </c>
      <c r="F92" t="inlineStr">
        <is>
          <t xml:space="preserve">آینه قدی موکا</t>
        </is>
      </c>
      <c r="G92" t="inlineStr">
        <is>
          <t xml:space="preserve">mocha-standing-mirror</t>
        </is>
      </c>
      <c r="H92" t="inlineStr">
        <is>
          <t xml:space="preserve">mocha-standing-mirror</t>
        </is>
      </c>
      <c r="I92" t="inlineStr">
        <is>
          <t xml:space="preserve">teen</t>
        </is>
      </c>
      <c r="J92" t="n">
        <v>304680000</v>
      </c>
      <c r="L92" t="n">
        <v>14</v>
      </c>
      <c r="M92" t="n">
        <v>5</v>
      </c>
      <c r="N92" t="n">
        <v>5</v>
      </c>
      <c r="O92" t="inlineStr">
        <is>
          <t xml:space="preserve">in_stock</t>
        </is>
      </c>
      <c r="P92" t="inlineStr">
        <is>
          <t xml:space="preserve">width:60 · height:180 · depth:5</t>
        </is>
      </c>
      <c r="R92" t="inlineStr">
        <is>
          <t xml:space="preserve">آینه قدی</t>
        </is>
      </c>
      <c r="X92" t="n">
        <v>1</v>
      </c>
      <c r="Y92" t="inlineStr">
        <is>
          <t xml:space="preserve">mocha-standing-mirror.webp</t>
        </is>
      </c>
      <c r="Z92" t="inlineStr">
        <is>
          <t xml:space="preserve">http://80.240.31.146:3000/api/media/file/mocha-standing-mirror.webp</t>
        </is>
      </c>
    </row>
    <row r="93" ht="48" customHeight="1">
      <c r="A93">
        <f>IMAGE("http://80.240.31.146:3000/_next/image?url=%2Fapi%2Fmedia%2Ffile%2Fmocha-single-bed-120-teddy.webp&amp;w=256&amp;q=75",4,60,80)</f>
      </c>
      <c r="B93" t="n">
        <v>487</v>
      </c>
      <c r="C93" t="inlineStr">
        <is>
          <t xml:space="preserve">published</t>
        </is>
      </c>
      <c r="D93" t="inlineStr">
        <is>
          <t xml:space="preserve">موکا</t>
        </is>
      </c>
      <c r="F93" t="inlineStr">
        <is>
          <t xml:space="preserve">تخت یک نفره موکا</t>
        </is>
      </c>
      <c r="G93" t="inlineStr">
        <is>
          <t xml:space="preserve">mocha-single-bed</t>
        </is>
      </c>
      <c r="H93" t="inlineStr">
        <is>
          <t xml:space="preserve">mocha-single-bed</t>
        </is>
      </c>
      <c r="I93" t="inlineStr">
        <is>
          <t xml:space="preserve">teen</t>
        </is>
      </c>
      <c r="J93" t="n">
        <v>421400000</v>
      </c>
      <c r="L93" t="n">
        <v>14</v>
      </c>
      <c r="M93" t="n">
        <v>5</v>
      </c>
      <c r="N93" t="n">
        <v>5</v>
      </c>
      <c r="O93" t="inlineStr">
        <is>
          <t xml:space="preserve">in_stock</t>
        </is>
      </c>
      <c r="P93" t="inlineStr">
        <is>
          <t xml:space="preserve">width:100 · height:110 · depth:210</t>
        </is>
      </c>
      <c r="R93" t="inlineStr">
        <is>
          <t xml:space="preserve">تخت یک نفره</t>
        </is>
      </c>
      <c r="X93" t="n">
        <v>2</v>
      </c>
      <c r="Y93" t="inlineStr">
        <is>
          <t xml:space="preserve">mocha-single-bed-120-teddy.webp; mocha-single-bed-120.webp</t>
        </is>
      </c>
      <c r="Z93" t="inlineStr">
        <is>
          <t xml:space="preserve">http://80.240.31.146:3000/api/media/file/mocha-single-bed-120-teddy.webp; http://80.240.31.146:3000/api/media/file/mocha-single-bed-120.webp</t>
        </is>
      </c>
    </row>
    <row r="94" ht="48" customHeight="1">
      <c r="A94">
        <f>IMAGE("http://80.240.31.146:3000/_next/image?url=%2Fapi%2Fmedia%2Ffile%2Fmocha-nightstand.webp&amp;w=256&amp;q=75",4,60,80)</f>
      </c>
      <c r="B94" t="n">
        <v>486</v>
      </c>
      <c r="C94" t="inlineStr">
        <is>
          <t xml:space="preserve">published</t>
        </is>
      </c>
      <c r="D94" t="inlineStr">
        <is>
          <t xml:space="preserve">موکا</t>
        </is>
      </c>
      <c r="F94" t="inlineStr">
        <is>
          <t xml:space="preserve">پاتختی موکا</t>
        </is>
      </c>
      <c r="G94" t="inlineStr">
        <is>
          <t xml:space="preserve">mocha-nightstand</t>
        </is>
      </c>
      <c r="H94" t="inlineStr">
        <is>
          <t xml:space="preserve">mocha-nightstand</t>
        </is>
      </c>
      <c r="I94" t="inlineStr">
        <is>
          <t xml:space="preserve">teen</t>
        </is>
      </c>
      <c r="J94" t="n">
        <v>176640000</v>
      </c>
      <c r="L94" t="n">
        <v>14</v>
      </c>
      <c r="M94" t="n">
        <v>5</v>
      </c>
      <c r="N94" t="n">
        <v>5</v>
      </c>
      <c r="O94" t="inlineStr">
        <is>
          <t xml:space="preserve">in_stock</t>
        </is>
      </c>
      <c r="P94" t="inlineStr">
        <is>
          <t xml:space="preserve">width:50 · height:55 · depth:40</t>
        </is>
      </c>
      <c r="R94" t="inlineStr">
        <is>
          <t xml:space="preserve">پاتختی</t>
        </is>
      </c>
      <c r="X94" t="n">
        <v>1</v>
      </c>
      <c r="Y94" t="inlineStr">
        <is>
          <t xml:space="preserve">mocha-nightstand.webp</t>
        </is>
      </c>
      <c r="Z94" t="inlineStr">
        <is>
          <t xml:space="preserve">http://80.240.31.146:3000/api/media/file/mocha-nightstand.webp</t>
        </is>
      </c>
    </row>
    <row r="95" ht="48" customHeight="1">
      <c r="B95" t="n">
        <v>485</v>
      </c>
      <c r="C95" t="inlineStr">
        <is>
          <t xml:space="preserve">draft</t>
        </is>
      </c>
      <c r="D95" t="inlineStr">
        <is>
          <t xml:space="preserve">موکا</t>
        </is>
      </c>
      <c r="F95" t="inlineStr">
        <is>
          <t xml:space="preserve">کنسول موکا</t>
        </is>
      </c>
      <c r="G95" t="inlineStr">
        <is>
          <t xml:space="preserve">mocha-console</t>
        </is>
      </c>
      <c r="H95" t="inlineStr">
        <is>
          <t xml:space="preserve">mocha-console</t>
        </is>
      </c>
      <c r="I95" t="inlineStr">
        <is>
          <t xml:space="preserve">teen</t>
        </is>
      </c>
      <c r="J95" t="n">
        <v>491850000</v>
      </c>
      <c r="L95" t="n">
        <v>14</v>
      </c>
      <c r="M95" t="n">
        <v>5</v>
      </c>
      <c r="N95" t="n">
        <v>5</v>
      </c>
      <c r="O95" t="inlineStr">
        <is>
          <t xml:space="preserve">in_stock</t>
        </is>
      </c>
      <c r="P95" t="inlineStr">
        <is>
          <t xml:space="preserve">width:110 · height:80 · depth:35</t>
        </is>
      </c>
      <c r="R95" t="inlineStr">
        <is>
          <t xml:space="preserve">کنسول</t>
        </is>
      </c>
      <c r="X95" t="n">
        <v>0</v>
      </c>
    </row>
    <row r="96" ht="48" customHeight="1">
      <c r="A96">
        <f>IMAGE("http://80.240.31.146:3000/_next/image?url=%2Fapi%2Fmedia%2Ffile%2Fmocha-bookcase.webp&amp;w=256&amp;q=75",4,60,80)</f>
      </c>
      <c r="B96" t="n">
        <v>484</v>
      </c>
      <c r="C96" t="inlineStr">
        <is>
          <t xml:space="preserve">published</t>
        </is>
      </c>
      <c r="D96" t="inlineStr">
        <is>
          <t xml:space="preserve">موکا</t>
        </is>
      </c>
      <c r="F96" t="inlineStr">
        <is>
          <t xml:space="preserve">کتابخانه موکا</t>
        </is>
      </c>
      <c r="G96" t="inlineStr">
        <is>
          <t xml:space="preserve">mocha-bookcase</t>
        </is>
      </c>
      <c r="H96" t="inlineStr">
        <is>
          <t xml:space="preserve">mocha-bookcase</t>
        </is>
      </c>
      <c r="I96" t="inlineStr">
        <is>
          <t xml:space="preserve">teen</t>
        </is>
      </c>
      <c r="J96" t="n">
        <v>391500000</v>
      </c>
      <c r="L96" t="n">
        <v>14</v>
      </c>
      <c r="M96" t="n">
        <v>5</v>
      </c>
      <c r="N96" t="n">
        <v>5</v>
      </c>
      <c r="O96" t="inlineStr">
        <is>
          <t xml:space="preserve">in_stock</t>
        </is>
      </c>
      <c r="P96" t="inlineStr">
        <is>
          <t xml:space="preserve">width:80 · height:200 · depth:35</t>
        </is>
      </c>
      <c r="R96" t="inlineStr">
        <is>
          <t xml:space="preserve">کتابخانه</t>
        </is>
      </c>
      <c r="X96" t="n">
        <v>1</v>
      </c>
      <c r="Y96" t="inlineStr">
        <is>
          <t xml:space="preserve">mocha-bookcase.webp</t>
        </is>
      </c>
      <c r="Z96" t="inlineStr">
        <is>
          <t xml:space="preserve">http://80.240.31.146:3000/api/media/file/mocha-bookcase.webp</t>
        </is>
      </c>
    </row>
    <row r="97" ht="48" customHeight="1">
      <c r="A97">
        <f>IMAGE("http://80.240.31.146:3000/_next/image?url=%2Fapi%2Fmedia%2Ffile%2Flukaplus-wardrobe-2-doors-mdf.webp&amp;w=256&amp;q=75",4,60,80)</f>
      </c>
      <c r="B97" t="n">
        <v>483</v>
      </c>
      <c r="C97" t="inlineStr">
        <is>
          <t xml:space="preserve">published</t>
        </is>
      </c>
      <c r="D97" t="inlineStr">
        <is>
          <t xml:space="preserve">لوکاپلاس</t>
        </is>
      </c>
      <c r="F97" t="inlineStr">
        <is>
          <t xml:space="preserve">کمد لوکاپلاس</t>
        </is>
      </c>
      <c r="G97" t="inlineStr">
        <is>
          <t xml:space="preserve">lukaplus-wardrobe</t>
        </is>
      </c>
      <c r="H97" t="inlineStr">
        <is>
          <t xml:space="preserve">lukaplus-wardrobe</t>
        </is>
      </c>
      <c r="I97" t="inlineStr">
        <is>
          <t xml:space="preserve">double, teen</t>
        </is>
      </c>
      <c r="J97" t="n">
        <v>722660000</v>
      </c>
      <c r="L97" t="n">
        <v>14</v>
      </c>
      <c r="M97" t="n">
        <v>5</v>
      </c>
      <c r="N97" t="n">
        <v>5</v>
      </c>
      <c r="O97" t="inlineStr">
        <is>
          <t xml:space="preserve">in_stock</t>
        </is>
      </c>
      <c r="P97" t="inlineStr">
        <is>
          <t xml:space="preserve">width:120 · height:220 · depth:60</t>
        </is>
      </c>
      <c r="R97" t="inlineStr">
        <is>
          <t xml:space="preserve">کمد</t>
        </is>
      </c>
      <c r="X97" t="n">
        <v>5</v>
      </c>
      <c r="Y97" t="inlineStr">
        <is>
          <t xml:space="preserve">lukaplus-wardrobe-2-doors-mdf.webp; lukaplus-wardrobe-3-doors-mdf.webp; lukaplus-wardrobe-2-doors-mdf-picture-v2.webp; lukaplus-wardrobe-2-doors-mdf-picture-v3.webp; lukaplus-wardrobe-2-doors-mdf-picture.webp</t>
        </is>
      </c>
      <c r="Z97" t="inlineStr">
        <is>
          <t xml:space="preserve">http://80.240.31.146:3000/api/media/file/lukaplus-wardrobe-2-doors-mdf.webp; http://80.240.31.146:3000/api/media/file/lukaplus-wardrobe-3-doors-mdf.webp; http://80.240.31.146:3000/api/media/file/lukaplus-wardrobe-2-doors-mdf-picture-v2.webp; http://80.240.31.146:3000/api/media/file/lukaplus-wardrobe-2-doors-mdf-picture-v3.webp; http://80.240.31.146:3000/api/media/file/lukaplus-wardrobe-2-doors-mdf-picture.webp</t>
        </is>
      </c>
    </row>
    <row r="98" ht="48" customHeight="1">
      <c r="A98">
        <f>IMAGE("http://80.240.31.146:3000/_next/image?url=%2Fapi%2Fmedia%2Ffile%2Flukaplus-wall-shelf.webp&amp;w=256&amp;q=75",4,60,80)</f>
      </c>
      <c r="B98" t="n">
        <v>482</v>
      </c>
      <c r="C98" t="inlineStr">
        <is>
          <t xml:space="preserve">published</t>
        </is>
      </c>
      <c r="D98" t="inlineStr">
        <is>
          <t xml:space="preserve">لوکاپلاس</t>
        </is>
      </c>
      <c r="F98" t="inlineStr">
        <is>
          <t xml:space="preserve">شلف دیواری لوکاپلاس</t>
        </is>
      </c>
      <c r="G98" t="inlineStr">
        <is>
          <t xml:space="preserve">lukaplus-wall-shelf</t>
        </is>
      </c>
      <c r="H98" t="inlineStr">
        <is>
          <t xml:space="preserve">lukaplus-wall-shelf</t>
        </is>
      </c>
      <c r="I98" t="inlineStr">
        <is>
          <t xml:space="preserve">double, teen</t>
        </is>
      </c>
      <c r="J98" t="n">
        <v>111090000</v>
      </c>
      <c r="L98" t="n">
        <v>14</v>
      </c>
      <c r="M98" t="n">
        <v>5</v>
      </c>
      <c r="N98" t="n">
        <v>5</v>
      </c>
      <c r="O98" t="inlineStr">
        <is>
          <t xml:space="preserve">in_stock</t>
        </is>
      </c>
      <c r="P98" t="inlineStr">
        <is>
          <t xml:space="preserve">width:80 · height:25 · depth:25</t>
        </is>
      </c>
      <c r="R98" t="inlineStr">
        <is>
          <t xml:space="preserve">شلف دیواری (براکت)</t>
        </is>
      </c>
      <c r="X98" t="n">
        <v>3</v>
      </c>
      <c r="Y98" t="inlineStr">
        <is>
          <t xml:space="preserve">lukaplus-wall-shelf.webp; lukaplus-wall-shelf-picture-v2.webp; lukaplus-wall-shelf-picture.webp</t>
        </is>
      </c>
      <c r="Z98" t="inlineStr">
        <is>
          <t xml:space="preserve">http://80.240.31.146:3000/api/media/file/lukaplus-wall-shelf.webp; http://80.240.31.146:3000/api/media/file/lukaplus-wall-shelf-picture-v2.webp; http://80.240.31.146:3000/api/media/file/lukaplus-wall-shelf-picture.webp</t>
        </is>
      </c>
    </row>
    <row r="99" ht="48" customHeight="1">
      <c r="B99" t="n">
        <v>481</v>
      </c>
      <c r="C99" t="inlineStr">
        <is>
          <t xml:space="preserve">draft</t>
        </is>
      </c>
      <c r="D99" t="inlineStr">
        <is>
          <t xml:space="preserve">لوکاپلاس</t>
        </is>
      </c>
      <c r="F99" t="inlineStr">
        <is>
          <t xml:space="preserve">صندلی میز آرایش لوکاپلاس</t>
        </is>
      </c>
      <c r="G99" t="inlineStr">
        <is>
          <t xml:space="preserve">lukaplus-vanity-chair</t>
        </is>
      </c>
      <c r="H99" t="inlineStr">
        <is>
          <t xml:space="preserve">lukaplus-vanity-chair</t>
        </is>
      </c>
      <c r="I99" t="inlineStr">
        <is>
          <t xml:space="preserve">double, teen</t>
        </is>
      </c>
      <c r="J99" t="n">
        <v>0</v>
      </c>
      <c r="L99" t="n">
        <v>14</v>
      </c>
      <c r="M99" t="n">
        <v>5</v>
      </c>
      <c r="N99" t="n">
        <v>5</v>
      </c>
      <c r="O99" t="inlineStr">
        <is>
          <t xml:space="preserve">made_to_order</t>
        </is>
      </c>
      <c r="P99" t="inlineStr">
        <is>
          <t xml:space="preserve">width:100 · height:78 · depth:45</t>
        </is>
      </c>
      <c r="R99" t="inlineStr">
        <is>
          <t xml:space="preserve">صندلی میز آرایش</t>
        </is>
      </c>
      <c r="X99" t="n">
        <v>0</v>
      </c>
    </row>
    <row r="100" ht="48" customHeight="1">
      <c r="A100">
        <f>IMAGE("http://80.240.31.146:3000/_next/image?url=%2Fapi%2Fmedia%2Ffile%2Flukaplus-vanity-4-drawers-picture-v2.webp&amp;w=256&amp;q=75",4,60,80)</f>
      </c>
      <c r="B100" t="n">
        <v>480</v>
      </c>
      <c r="C100" t="inlineStr">
        <is>
          <t xml:space="preserve">draft</t>
        </is>
      </c>
      <c r="D100" t="inlineStr">
        <is>
          <t xml:space="preserve">لوکاپلاس</t>
        </is>
      </c>
      <c r="F100" t="inlineStr">
        <is>
          <t xml:space="preserve">میز آرایش لوکاپلاس</t>
        </is>
      </c>
      <c r="G100" t="inlineStr">
        <is>
          <t xml:space="preserve">lukaplus-vanity</t>
        </is>
      </c>
      <c r="H100" t="inlineStr">
        <is>
          <t xml:space="preserve">lukaplus-vanity</t>
        </is>
      </c>
      <c r="I100" t="inlineStr">
        <is>
          <t xml:space="preserve">double, teen</t>
        </is>
      </c>
      <c r="J100" t="n">
        <v>0</v>
      </c>
      <c r="L100" t="n">
        <v>14</v>
      </c>
      <c r="M100" t="n">
        <v>5</v>
      </c>
      <c r="N100" t="n">
        <v>5</v>
      </c>
      <c r="O100" t="inlineStr">
        <is>
          <t xml:space="preserve">made_to_order</t>
        </is>
      </c>
      <c r="P100" t="inlineStr">
        <is>
          <t xml:space="preserve">width:100 · height:78 · depth:45</t>
        </is>
      </c>
      <c r="R100" t="inlineStr">
        <is>
          <t xml:space="preserve">میز آرایش</t>
        </is>
      </c>
      <c r="X100" t="n">
        <v>3</v>
      </c>
      <c r="Y100" t="inlineStr">
        <is>
          <t xml:space="preserve">lukaplus-vanity-4-drawers-picture-v2.webp; lukaplus-vanity-4-drawers-picture.webp; lukaplus-vanity-4-drawers.webp</t>
        </is>
      </c>
      <c r="Z100" t="inlineStr">
        <is>
          <t xml:space="preserve">http://80.240.31.146:3000/api/media/file/lukaplus-vanity-4-drawers-picture-v2.webp; http://80.240.31.146:3000/api/media/file/lukaplus-vanity-4-drawers-picture.webp; http://80.240.31.146:3000/api/media/file/lukaplus-vanity-4-drawers.webp</t>
        </is>
      </c>
    </row>
    <row r="101" ht="48" customHeight="1">
      <c r="A101">
        <f>IMAGE("http://80.240.31.146:3000/_next/image?url=%2Fapi%2Fmedia%2Ffile%2Flukaplus-table-mirror.webp&amp;w=256&amp;q=75",4,60,80)</f>
      </c>
      <c r="B101" t="n">
        <v>479</v>
      </c>
      <c r="C101" t="inlineStr">
        <is>
          <t xml:space="preserve">published</t>
        </is>
      </c>
      <c r="D101" t="inlineStr">
        <is>
          <t xml:space="preserve">لوکاپلاس</t>
        </is>
      </c>
      <c r="F101" t="inlineStr">
        <is>
          <t xml:space="preserve">آینه رومیزی لوکاپلاس</t>
        </is>
      </c>
      <c r="G101" t="inlineStr">
        <is>
          <t xml:space="preserve">lukaplus-table-mirror</t>
        </is>
      </c>
      <c r="H101" t="inlineStr">
        <is>
          <t xml:space="preserve">lukaplus-table-mirror</t>
        </is>
      </c>
      <c r="I101" t="inlineStr">
        <is>
          <t xml:space="preserve">double, teen</t>
        </is>
      </c>
      <c r="J101" t="n">
        <v>147150000</v>
      </c>
      <c r="L101" t="n">
        <v>14</v>
      </c>
      <c r="M101" t="n">
        <v>5</v>
      </c>
      <c r="N101" t="n">
        <v>5</v>
      </c>
      <c r="O101" t="inlineStr">
        <is>
          <t xml:space="preserve">in_stock</t>
        </is>
      </c>
      <c r="P101" t="inlineStr">
        <is>
          <t xml:space="preserve">width:60 · height:70 · depth:5</t>
        </is>
      </c>
      <c r="R101" t="inlineStr">
        <is>
          <t xml:space="preserve">آینه رومیزی</t>
        </is>
      </c>
      <c r="X101" t="n">
        <v>1</v>
      </c>
      <c r="Y101" t="inlineStr">
        <is>
          <t xml:space="preserve">lukaplus-table-mirror.webp</t>
        </is>
      </c>
      <c r="Z101" t="inlineStr">
        <is>
          <t xml:space="preserve">http://80.240.31.146:3000/api/media/file/lukaplus-table-mirror.webp</t>
        </is>
      </c>
    </row>
    <row r="102" ht="48" customHeight="1">
      <c r="A102">
        <f>IMAGE("http://80.240.31.146:3000/_next/image?url=%2Fapi%2Fmedia%2Ffile%2Flukaplus-study-desk.webp&amp;w=256&amp;q=75",4,60,80)</f>
      </c>
      <c r="B102" t="n">
        <v>478</v>
      </c>
      <c r="C102" t="inlineStr">
        <is>
          <t xml:space="preserve">published</t>
        </is>
      </c>
      <c r="D102" t="inlineStr">
        <is>
          <t xml:space="preserve">لوکاپلاس</t>
        </is>
      </c>
      <c r="F102" t="inlineStr">
        <is>
          <t xml:space="preserve">میز تحریر لوکاپلاس</t>
        </is>
      </c>
      <c r="G102" t="inlineStr">
        <is>
          <t xml:space="preserve">lukaplus-study-desk</t>
        </is>
      </c>
      <c r="H102" t="inlineStr">
        <is>
          <t xml:space="preserve">lukaplus-study-desk</t>
        </is>
      </c>
      <c r="I102" t="inlineStr">
        <is>
          <t xml:space="preserve">double, teen</t>
        </is>
      </c>
      <c r="J102" t="n">
        <v>377090000</v>
      </c>
      <c r="L102" t="n">
        <v>14</v>
      </c>
      <c r="M102" t="n">
        <v>5</v>
      </c>
      <c r="N102" t="n">
        <v>5</v>
      </c>
      <c r="O102" t="inlineStr">
        <is>
          <t xml:space="preserve">in_stock</t>
        </is>
      </c>
      <c r="P102" t="inlineStr">
        <is>
          <t xml:space="preserve">width:120 · height:75 · depth:60</t>
        </is>
      </c>
      <c r="R102" t="inlineStr">
        <is>
          <t xml:space="preserve">میز تحریر</t>
        </is>
      </c>
      <c r="X102" t="n">
        <v>3</v>
      </c>
      <c r="Y102" t="inlineStr">
        <is>
          <t xml:space="preserve">lukaplus-study-desk.webp; lukaplus-study-desk-picture-v2.webp; lukaplus-study-desk-picture.webp</t>
        </is>
      </c>
      <c r="Z102" t="inlineStr">
        <is>
          <t xml:space="preserve">http://80.240.31.146:3000/api/media/file/lukaplus-study-desk.webp; http://80.240.31.146:3000/api/media/file/lukaplus-study-desk-picture-v2.webp; http://80.240.31.146:3000/api/media/file/lukaplus-study-desk-picture.webp</t>
        </is>
      </c>
    </row>
    <row r="103" ht="48" customHeight="1">
      <c r="B103" t="n">
        <v>477</v>
      </c>
      <c r="C103" t="inlineStr">
        <is>
          <t xml:space="preserve">draft</t>
        </is>
      </c>
      <c r="D103" t="inlineStr">
        <is>
          <t xml:space="preserve">لوکاپلاس</t>
        </is>
      </c>
      <c r="F103" t="inlineStr">
        <is>
          <t xml:space="preserve">صندلی میز تحریر لوکاپلاس</t>
        </is>
      </c>
      <c r="G103" t="inlineStr">
        <is>
          <t xml:space="preserve">lukaplus-study-chair</t>
        </is>
      </c>
      <c r="H103" t="inlineStr">
        <is>
          <t xml:space="preserve">lukaplus-study-chair</t>
        </is>
      </c>
      <c r="I103" t="inlineStr">
        <is>
          <t xml:space="preserve">double, teen</t>
        </is>
      </c>
      <c r="J103" t="n">
        <v>0</v>
      </c>
      <c r="L103" t="n">
        <v>14</v>
      </c>
      <c r="M103" t="n">
        <v>5</v>
      </c>
      <c r="N103" t="n">
        <v>5</v>
      </c>
      <c r="O103" t="inlineStr">
        <is>
          <t xml:space="preserve">made_to_order</t>
        </is>
      </c>
      <c r="P103" t="inlineStr">
        <is>
          <t xml:space="preserve">width:50 · height:85 · depth:50</t>
        </is>
      </c>
      <c r="R103" t="inlineStr">
        <is>
          <t xml:space="preserve">صندلی میز تحریر</t>
        </is>
      </c>
      <c r="X103" t="n">
        <v>0</v>
      </c>
    </row>
    <row r="104" ht="48" customHeight="1">
      <c r="A104">
        <f>IMAGE("http://80.240.31.146:3000/_next/image?url=%2Fapi%2Fmedia%2Ffile%2Flukaplus-standing-mirror-picture.webp&amp;w=256&amp;q=75",4,60,80)</f>
      </c>
      <c r="B104" t="n">
        <v>476</v>
      </c>
      <c r="C104" t="inlineStr">
        <is>
          <t xml:space="preserve">published</t>
        </is>
      </c>
      <c r="D104" t="inlineStr">
        <is>
          <t xml:space="preserve">لوکاپلاس</t>
        </is>
      </c>
      <c r="F104" t="inlineStr">
        <is>
          <t xml:space="preserve">آینه قدی لوکاپلاس</t>
        </is>
      </c>
      <c r="G104" t="inlineStr">
        <is>
          <t xml:space="preserve">lukaplus-standing-mirror</t>
        </is>
      </c>
      <c r="H104" t="inlineStr">
        <is>
          <t xml:space="preserve">lukaplus-standing-mirror</t>
        </is>
      </c>
      <c r="I104" t="inlineStr">
        <is>
          <t xml:space="preserve">double, teen</t>
        </is>
      </c>
      <c r="J104" t="n">
        <v>344000000</v>
      </c>
      <c r="L104" t="n">
        <v>14</v>
      </c>
      <c r="M104" t="n">
        <v>5</v>
      </c>
      <c r="N104" t="n">
        <v>5</v>
      </c>
      <c r="O104" t="inlineStr">
        <is>
          <t xml:space="preserve">in_stock</t>
        </is>
      </c>
      <c r="P104" t="inlineStr">
        <is>
          <t xml:space="preserve">width:60 · height:180 · depth:5</t>
        </is>
      </c>
      <c r="R104" t="inlineStr">
        <is>
          <t xml:space="preserve">آینه قدی</t>
        </is>
      </c>
      <c r="X104" t="n">
        <v>2</v>
      </c>
      <c r="Y104" t="inlineStr">
        <is>
          <t xml:space="preserve">lukaplus-standing-mirror-picture.webp; lukaplus-standing-mirror.webp</t>
        </is>
      </c>
      <c r="Z104" t="inlineStr">
        <is>
          <t xml:space="preserve">http://80.240.31.146:3000/api/media/file/lukaplus-standing-mirror-picture.webp; http://80.240.31.146:3000/api/media/file/lukaplus-standing-mirror.webp</t>
        </is>
      </c>
    </row>
    <row r="105" ht="48" customHeight="1">
      <c r="A105">
        <f>IMAGE("http://80.240.31.146:3000/_next/image?url=%2Fapi%2Fmedia%2Ffile%2Flukaplus-single-bed-120-v2.webp&amp;w=256&amp;q=75",4,60,80)</f>
      </c>
      <c r="B105" t="n">
        <v>475</v>
      </c>
      <c r="C105" t="inlineStr">
        <is>
          <t xml:space="preserve">published</t>
        </is>
      </c>
      <c r="D105" t="inlineStr">
        <is>
          <t xml:space="preserve">لوکاپلاس</t>
        </is>
      </c>
      <c r="F105" t="inlineStr">
        <is>
          <t xml:space="preserve">تخت یک نفره لوکاپلاس</t>
        </is>
      </c>
      <c r="G105" t="inlineStr">
        <is>
          <t xml:space="preserve">lukaplus-single-bed</t>
        </is>
      </c>
      <c r="H105" t="inlineStr">
        <is>
          <t xml:space="preserve">lukaplus-single-bed</t>
        </is>
      </c>
      <c r="I105" t="inlineStr">
        <is>
          <t xml:space="preserve">double, teen</t>
        </is>
      </c>
      <c r="J105" t="n">
        <v>411360000</v>
      </c>
      <c r="L105" t="n">
        <v>14</v>
      </c>
      <c r="M105" t="n">
        <v>5</v>
      </c>
      <c r="N105" t="n">
        <v>5</v>
      </c>
      <c r="O105" t="inlineStr">
        <is>
          <t xml:space="preserve">in_stock</t>
        </is>
      </c>
      <c r="P105" t="inlineStr">
        <is>
          <t xml:space="preserve">width:100 · height:110 · depth:210</t>
        </is>
      </c>
      <c r="R105" t="inlineStr">
        <is>
          <t xml:space="preserve">تخت یک نفره</t>
        </is>
      </c>
      <c r="X105" t="n">
        <v>6</v>
      </c>
      <c r="Y105" t="inlineStr">
        <is>
          <t xml:space="preserve">lukaplus-single-bed-120-v2.webp; lukaplus-single-bed-120.webp; lukaplus-single-bed-120-picture-v2.webp; lukaplus-single-bed-120-picture-v3.webp; lukaplus-single-bed-120-picture-v4.webp; lukaplus-single-bed-120-picture.webp</t>
        </is>
      </c>
      <c r="Z105" t="inlineStr">
        <is>
          <t xml:space="preserve">http://80.240.31.146:3000/api/media/file/lukaplus-single-bed-120-v2.webp; http://80.240.31.146:3000/api/media/file/lukaplus-single-bed-120.webp; http://80.240.31.146:3000/api/media/file/lukaplus-single-bed-120-picture-v2.webp; http://80.240.31.146:3000/api/media/file/lukaplus-single-bed-120-picture-v3.webp; http://80.240.31.146:3000/api/media/file/lukaplus-single-bed-120-picture-v4.webp; http://80.240.31.146:3000/api/media/file/lukaplus-single-bed-120-picture.webp</t>
        </is>
      </c>
    </row>
    <row r="106" ht="48" customHeight="1">
      <c r="A106">
        <f>IMAGE("http://80.240.31.146:3000/_next/image?url=%2Fapi%2Fmedia%2Ffile%2Flukaplus-couple-lukaplus-nightstand-picture-v2.webp&amp;w=256&amp;q=75",4,60,80)</f>
      </c>
      <c r="B106" t="n">
        <v>474</v>
      </c>
      <c r="C106" t="inlineStr">
        <is>
          <t xml:space="preserve">published</t>
        </is>
      </c>
      <c r="D106" t="inlineStr">
        <is>
          <t xml:space="preserve">لوکاپلاس</t>
        </is>
      </c>
      <c r="F106" t="inlineStr">
        <is>
          <t xml:space="preserve">پاتختی لوکاپلاس</t>
        </is>
      </c>
      <c r="G106" t="inlineStr">
        <is>
          <t xml:space="preserve">lukaplus-nightstand</t>
        </is>
      </c>
      <c r="H106" t="inlineStr">
        <is>
          <t xml:space="preserve">lukaplus-nightstand</t>
        </is>
      </c>
      <c r="I106" t="inlineStr">
        <is>
          <t xml:space="preserve">double, teen</t>
        </is>
      </c>
      <c r="J106" t="n">
        <v>184440000</v>
      </c>
      <c r="L106" t="n">
        <v>14</v>
      </c>
      <c r="M106" t="n">
        <v>5</v>
      </c>
      <c r="N106" t="n">
        <v>5</v>
      </c>
      <c r="O106" t="inlineStr">
        <is>
          <t xml:space="preserve">in_stock</t>
        </is>
      </c>
      <c r="P106" t="inlineStr">
        <is>
          <t xml:space="preserve">width:50 · height:55 · depth:40</t>
        </is>
      </c>
      <c r="R106" t="inlineStr">
        <is>
          <t xml:space="preserve">پاتختی</t>
        </is>
      </c>
      <c r="X106" t="n">
        <v>6</v>
      </c>
      <c r="Y106" t="inlineStr">
        <is>
          <t xml:space="preserve">lukaplus-couple-lukaplus-nightstand-picture-v2.webp; lukaplus-couple-lukaplus-nightstand-picture.webp; lukaplus-nightstand.webp; lukaplus-teen-lukaplus-nightstand-picture-v2.webp; lukaplus-nightstand-picture-v3.webp; lukaplus-teen-lukaplus-nightstand-picture.webp</t>
        </is>
      </c>
      <c r="Z106" t="inlineStr">
        <is>
          <t xml:space="preserve">http://80.240.31.146:3000/api/media/file/lukaplus-couple-lukaplus-nightstand-picture-v2.webp; http://80.240.31.146:3000/api/media/file/lukaplus-couple-lukaplus-nightstand-picture.webp; http://80.240.31.146:3000/api/media/file/lukaplus-nightstand.webp; http://80.240.31.146:3000/api/media/file/lukaplus-teen-lukaplus-nightstand-picture-v2.webp; http://80.240.31.146:3000/api/media/file/lukaplus-nightstand-picture-v3.webp; http://80.240.31.146:3000/api/media/file/lukaplus-teen-lukaplus-nightstand-picture.webp</t>
        </is>
      </c>
    </row>
    <row r="107" ht="48" customHeight="1">
      <c r="A107">
        <f>IMAGE("http://80.240.31.146:3000/_next/image?url=%2Fapi%2Fmedia%2Ffile%2Flukaplus-double-bed-160-picture-v2.webp&amp;w=256&amp;q=75",4,60,80)</f>
      </c>
      <c r="B107" t="n">
        <v>473</v>
      </c>
      <c r="C107" t="inlineStr">
        <is>
          <t xml:space="preserve">published</t>
        </is>
      </c>
      <c r="D107" t="inlineStr">
        <is>
          <t xml:space="preserve">لوکاپلاس</t>
        </is>
      </c>
      <c r="F107" t="inlineStr">
        <is>
          <t xml:space="preserve">تخت دونفره لوکاپلاس</t>
        </is>
      </c>
      <c r="G107" t="inlineStr">
        <is>
          <t xml:space="preserve">lukaplus-double-bed</t>
        </is>
      </c>
      <c r="H107" t="inlineStr">
        <is>
          <t xml:space="preserve">lukaplus-double-bed</t>
        </is>
      </c>
      <c r="I107" t="inlineStr">
        <is>
          <t xml:space="preserve">double, teen</t>
        </is>
      </c>
      <c r="J107" t="n">
        <v>548030000</v>
      </c>
      <c r="L107" t="n">
        <v>14</v>
      </c>
      <c r="M107" t="n">
        <v>5</v>
      </c>
      <c r="N107" t="n">
        <v>5</v>
      </c>
      <c r="O107" t="inlineStr">
        <is>
          <t xml:space="preserve">in_stock</t>
        </is>
      </c>
      <c r="P107" t="inlineStr">
        <is>
          <t xml:space="preserve">width:160 · height:110 · depth:215</t>
        </is>
      </c>
      <c r="R107" t="inlineStr">
        <is>
          <t xml:space="preserve">تخت دونفره</t>
        </is>
      </c>
      <c r="X107" t="n">
        <v>5</v>
      </c>
      <c r="Y107" t="inlineStr">
        <is>
          <t xml:space="preserve">lukaplus-double-bed-160-picture-v2.webp; lukaplus-double-bed-160-picture-v3.webp; lukaplus-double-bed-160-picture-v4.webp; lukaplus-double-bed-160-picture.webp; lukaplus-double-bed-160.webp</t>
        </is>
      </c>
      <c r="Z107" t="inlineStr">
        <is>
          <t xml:space="preserve">http://80.240.31.146:3000/api/media/file/lukaplus-double-bed-160-picture-v2.webp; http://80.240.31.146:3000/api/media/file/lukaplus-double-bed-160-picture-v3.webp; http://80.240.31.146:3000/api/media/file/lukaplus-double-bed-160-picture-v4.webp; http://80.240.31.146:3000/api/media/file/lukaplus-double-bed-160-picture.webp; http://80.240.31.146:3000/api/media/file/lukaplus-double-bed-160.webp</t>
        </is>
      </c>
    </row>
    <row r="108" ht="48" customHeight="1">
      <c r="A108">
        <f>IMAGE("http://80.240.31.146:3000/_next/image?url=%2Fapi%2Fmedia%2Ffile%2Flukaplus-bookcase-v2.webp&amp;w=256&amp;q=75",4,60,80)</f>
      </c>
      <c r="B108" t="n">
        <v>472</v>
      </c>
      <c r="C108" t="inlineStr">
        <is>
          <t xml:space="preserve">published</t>
        </is>
      </c>
      <c r="D108" t="inlineStr">
        <is>
          <t xml:space="preserve">لوکاپلاس</t>
        </is>
      </c>
      <c r="F108" t="inlineStr">
        <is>
          <t xml:space="preserve">کتابخانه لوکاپلاس</t>
        </is>
      </c>
      <c r="G108" t="inlineStr">
        <is>
          <t xml:space="preserve">lukaplus-bookcase</t>
        </is>
      </c>
      <c r="H108" t="inlineStr">
        <is>
          <t xml:space="preserve">lukaplus-bookcase</t>
        </is>
      </c>
      <c r="I108" t="inlineStr">
        <is>
          <t xml:space="preserve">double, teen</t>
        </is>
      </c>
      <c r="J108" t="n">
        <v>308720000</v>
      </c>
      <c r="L108" t="n">
        <v>14</v>
      </c>
      <c r="M108" t="n">
        <v>5</v>
      </c>
      <c r="N108" t="n">
        <v>5</v>
      </c>
      <c r="O108" t="inlineStr">
        <is>
          <t xml:space="preserve">in_stock</t>
        </is>
      </c>
      <c r="P108" t="inlineStr">
        <is>
          <t xml:space="preserve">width:80 · height:200 · depth:35</t>
        </is>
      </c>
      <c r="R108" t="inlineStr">
        <is>
          <t xml:space="preserve">کتابخانه</t>
        </is>
      </c>
      <c r="X108" t="n">
        <v>5</v>
      </c>
      <c r="Y108" t="inlineStr">
        <is>
          <t xml:space="preserve">lukaplus-bookcase-v2.webp; lukaplus-bookcase.webp; lukaplus-bookcase-picture-v2.webp; lukaplus-bookcase-picture-v3.webp; lukaplus-bookcase-picture.webp</t>
        </is>
      </c>
      <c r="Z108" t="inlineStr">
        <is>
          <t xml:space="preserve">http://80.240.31.146:3000/api/media/file/lukaplus-bookcase-v2.webp; http://80.240.31.146:3000/api/media/file/lukaplus-bookcase.webp; http://80.240.31.146:3000/api/media/file/lukaplus-bookcase-picture-v2.webp; http://80.240.31.146:3000/api/media/file/lukaplus-bookcase-picture-v3.webp; http://80.240.31.146:3000/api/media/file/lukaplus-bookcase-picture.webp</t>
        </is>
      </c>
    </row>
    <row r="109" ht="48" customHeight="1">
      <c r="B109" t="n">
        <v>471</v>
      </c>
      <c r="C109" t="inlineStr">
        <is>
          <t xml:space="preserve">draft</t>
        </is>
      </c>
      <c r="D109" t="inlineStr">
        <is>
          <t xml:space="preserve">لوکاپلاس</t>
        </is>
      </c>
      <c r="F109" t="inlineStr">
        <is>
          <t xml:space="preserve">حفاظ تخت لوکاپلاس</t>
        </is>
      </c>
      <c r="G109" t="inlineStr">
        <is>
          <t xml:space="preserve">lukaplus-bed-guard</t>
        </is>
      </c>
      <c r="H109" t="inlineStr">
        <is>
          <t xml:space="preserve">lukaplus-bed-guard</t>
        </is>
      </c>
      <c r="I109" t="inlineStr">
        <is>
          <t xml:space="preserve">double, teen</t>
        </is>
      </c>
      <c r="J109" t="n">
        <v>0</v>
      </c>
      <c r="L109" t="n">
        <v>14</v>
      </c>
      <c r="M109" t="n">
        <v>5</v>
      </c>
      <c r="N109" t="n">
        <v>5</v>
      </c>
      <c r="O109" t="inlineStr">
        <is>
          <t xml:space="preserve">made_to_order</t>
        </is>
      </c>
      <c r="P109" t="inlineStr">
        <is>
          <t xml:space="preserve">width:120 · height:110 · depth:210</t>
        </is>
      </c>
      <c r="R109" t="inlineStr">
        <is>
          <t xml:space="preserve">حفاظ تخت</t>
        </is>
      </c>
      <c r="X109" t="n">
        <v>0</v>
      </c>
    </row>
    <row r="110" ht="48" customHeight="1">
      <c r="A110">
        <f>IMAGE("http://80.240.31.146:3000/_next/image?url=%2Fapi%2Fmedia%2Ffile%2Flotus-wardrobe-2-doors-mdf-mid.webp&amp;w=256&amp;q=75",4,60,80)</f>
      </c>
      <c r="B110" t="n">
        <v>470</v>
      </c>
      <c r="C110" t="inlineStr">
        <is>
          <t xml:space="preserve">published</t>
        </is>
      </c>
      <c r="D110" t="inlineStr">
        <is>
          <t xml:space="preserve">لوتوس</t>
        </is>
      </c>
      <c r="F110" t="inlineStr">
        <is>
          <t xml:space="preserve">کمد لوتوس</t>
        </is>
      </c>
      <c r="G110" t="inlineStr">
        <is>
          <t xml:space="preserve">lotus-wardrobe</t>
        </is>
      </c>
      <c r="H110" t="inlineStr">
        <is>
          <t xml:space="preserve">lotus-wardrobe</t>
        </is>
      </c>
      <c r="I110" t="inlineStr">
        <is>
          <t xml:space="preserve">double, teen</t>
        </is>
      </c>
      <c r="J110" t="n">
        <v>731820000</v>
      </c>
      <c r="L110" t="n">
        <v>14</v>
      </c>
      <c r="M110" t="n">
        <v>5</v>
      </c>
      <c r="N110" t="n">
        <v>5</v>
      </c>
      <c r="O110" t="inlineStr">
        <is>
          <t xml:space="preserve">in_stock</t>
        </is>
      </c>
      <c r="P110" t="inlineStr">
        <is>
          <t xml:space="preserve">width:120 · height:220 · depth:60</t>
        </is>
      </c>
      <c r="R110" t="inlineStr">
        <is>
          <t xml:space="preserve">کمد</t>
        </is>
      </c>
      <c r="X110" t="n">
        <v>6</v>
      </c>
      <c r="Y110" t="inlineStr">
        <is>
          <t xml:space="preserve">lotus-wardrobe-2-doors-mdf-mid.webp; lotus-wardrobe-2-doors-mdf.webp; lotus-wardrobe-2-doors-mdf-picture-v2.webp; lotus-wardrobe-2-doors-mdf-picture-v3.webp; lotus-wardrobe-2-doors-mdf-picture-v4.webp; lotus-wardrobe-2-doors-mdf-picture.webp</t>
        </is>
      </c>
      <c r="Z110" t="inlineStr">
        <is>
          <t xml:space="preserve">http://80.240.31.146:3000/api/media/file/lotus-wardrobe-2-doors-mdf-mid.webp; http://80.240.31.146:3000/api/media/file/lotus-wardrobe-2-doors-mdf.webp; http://80.240.31.146:3000/api/media/file/lotus-wardrobe-2-doors-mdf-picture-v2.webp; http://80.240.31.146:3000/api/media/file/lotus-wardrobe-2-doors-mdf-picture-v3.webp; http://80.240.31.146:3000/api/media/file/lotus-wardrobe-2-doors-mdf-picture-v4.webp; http://80.240.31.146:3000/api/media/file/lotus-wardrobe-2-doors-mdf-picture.webp</t>
        </is>
      </c>
    </row>
    <row r="111" ht="48" customHeight="1">
      <c r="B111" t="n">
        <v>469</v>
      </c>
      <c r="C111" t="inlineStr">
        <is>
          <t xml:space="preserve">draft</t>
        </is>
      </c>
      <c r="D111" t="inlineStr">
        <is>
          <t xml:space="preserve">لوتوس</t>
        </is>
      </c>
      <c r="F111" t="inlineStr">
        <is>
          <t xml:space="preserve">شلف دیواری لوتوس</t>
        </is>
      </c>
      <c r="G111" t="inlineStr">
        <is>
          <t xml:space="preserve">lotus-wall-shelf</t>
        </is>
      </c>
      <c r="H111" t="inlineStr">
        <is>
          <t xml:space="preserve">lotus-wall-shelf</t>
        </is>
      </c>
      <c r="I111" t="inlineStr">
        <is>
          <t xml:space="preserve">double, teen</t>
        </is>
      </c>
      <c r="J111" t="n">
        <v>124170000</v>
      </c>
      <c r="L111" t="n">
        <v>14</v>
      </c>
      <c r="M111" t="n">
        <v>5</v>
      </c>
      <c r="N111" t="n">
        <v>5</v>
      </c>
      <c r="O111" t="inlineStr">
        <is>
          <t xml:space="preserve">in_stock</t>
        </is>
      </c>
      <c r="P111" t="inlineStr">
        <is>
          <t xml:space="preserve">width:80 · height:25 · depth:25</t>
        </is>
      </c>
      <c r="R111" t="inlineStr">
        <is>
          <t xml:space="preserve">شلف دیواری (براکت)</t>
        </is>
      </c>
      <c r="X111" t="n">
        <v>0</v>
      </c>
    </row>
    <row r="112" ht="48" customHeight="1">
      <c r="B112" t="n">
        <v>468</v>
      </c>
      <c r="C112" t="inlineStr">
        <is>
          <t xml:space="preserve">draft</t>
        </is>
      </c>
      <c r="D112" t="inlineStr">
        <is>
          <t xml:space="preserve">لوتوس</t>
        </is>
      </c>
      <c r="F112" t="inlineStr">
        <is>
          <t xml:space="preserve">آینه دیواری لوتوس</t>
        </is>
      </c>
      <c r="G112" t="inlineStr">
        <is>
          <t xml:space="preserve">lotus-wall-mirror</t>
        </is>
      </c>
      <c r="H112" t="inlineStr">
        <is>
          <t xml:space="preserve">lotus-wall-mirror</t>
        </is>
      </c>
      <c r="I112" t="inlineStr">
        <is>
          <t xml:space="preserve">double, teen</t>
        </is>
      </c>
      <c r="J112" t="n">
        <v>103970000</v>
      </c>
      <c r="L112" t="n">
        <v>14</v>
      </c>
      <c r="M112" t="n">
        <v>5</v>
      </c>
      <c r="N112" t="n">
        <v>5</v>
      </c>
      <c r="O112" t="inlineStr">
        <is>
          <t xml:space="preserve">in_stock</t>
        </is>
      </c>
      <c r="P112" t="inlineStr">
        <is>
          <t xml:space="preserve">width:80 · height:100 · depth:5</t>
        </is>
      </c>
      <c r="R112" t="inlineStr">
        <is>
          <t xml:space="preserve">آینه دیواری</t>
        </is>
      </c>
      <c r="X112" t="n">
        <v>0</v>
      </c>
    </row>
    <row r="113" ht="48" customHeight="1">
      <c r="A113">
        <f>IMAGE("http://80.240.31.146:3000/_next/image?url=%2Fapi%2Fmedia%2Ffile%2Flotus-vanity-3-drawers-mid.webp&amp;w=256&amp;q=75",4,60,80)</f>
      </c>
      <c r="B113" t="n">
        <v>467</v>
      </c>
      <c r="C113" t="inlineStr">
        <is>
          <t xml:space="preserve">published</t>
        </is>
      </c>
      <c r="D113" t="inlineStr">
        <is>
          <t xml:space="preserve">لوتوس</t>
        </is>
      </c>
      <c r="F113" t="inlineStr">
        <is>
          <t xml:space="preserve">میز آرایش لوتوس</t>
        </is>
      </c>
      <c r="G113" t="inlineStr">
        <is>
          <t xml:space="preserve">lotus-vanity</t>
        </is>
      </c>
      <c r="H113" t="inlineStr">
        <is>
          <t xml:space="preserve">lotus-vanity</t>
        </is>
      </c>
      <c r="I113" t="inlineStr">
        <is>
          <t xml:space="preserve">double, teen</t>
        </is>
      </c>
      <c r="J113" t="n">
        <v>442530000</v>
      </c>
      <c r="L113" t="n">
        <v>14</v>
      </c>
      <c r="M113" t="n">
        <v>5</v>
      </c>
      <c r="N113" t="n">
        <v>5</v>
      </c>
      <c r="O113" t="inlineStr">
        <is>
          <t xml:space="preserve">in_stock</t>
        </is>
      </c>
      <c r="P113" t="inlineStr">
        <is>
          <t xml:space="preserve">width:100 · height:78 · depth:45</t>
        </is>
      </c>
      <c r="R113" t="inlineStr">
        <is>
          <t xml:space="preserve">میز آرایش</t>
        </is>
      </c>
      <c r="X113" t="n">
        <v>8</v>
      </c>
      <c r="Y113" t="inlineStr">
        <is>
          <t xml:space="preserve">lotus-vanity-3-drawers-mid.webp; lotus-vanity-3-drawers-v2-mid.webp; lotus-vanity-3-drawers-v2.webp; lotus-vanity-3-drawers.webp; lotus-vanity-3-drawers-picture-v2.webp; lotus-vanity-3-drawers-picture-v3.webp; lotus-vanity-3-drawers-picture-v4.webp; lotus-vanity-3-drawers-picture.webp</t>
        </is>
      </c>
      <c r="Z113" t="inlineStr">
        <is>
          <t xml:space="preserve">http://80.240.31.146:3000/api/media/file/lotus-vanity-3-drawers-mid.webp; http://80.240.31.146:3000/api/media/file/lotus-vanity-3-drawers-v2-mid.webp; http://80.240.31.146:3000/api/media/file/lotus-vanity-3-drawers-v2.webp; http://80.240.31.146:3000/api/media/file/lotus-vanity-3-drawers.webp; http://80.240.31.146:3000/api/media/file/lotus-vanity-3-drawers-picture-v2.webp; http://80.240.31.146:3000/api/media/file/lotus-vanity-3-drawers-picture-v3.webp; http://80.240.31.146:3000/api/media/file/lotus-vanity-3-drawers-picture-v4.webp; http://80.240.31.146:3000/api/media/file/lotus-vanity-3-drawers-picture.webp</t>
        </is>
      </c>
    </row>
    <row r="114" ht="48" customHeight="1">
      <c r="A114">
        <f>IMAGE("http://80.240.31.146:3000/_next/image?url=%2Fapi%2Fmedia%2Ffile%2Flotus-study-desk-mid.webp&amp;w=256&amp;q=75",4,60,80)</f>
      </c>
      <c r="B114" t="n">
        <v>466</v>
      </c>
      <c r="C114" t="inlineStr">
        <is>
          <t xml:space="preserve">published</t>
        </is>
      </c>
      <c r="D114" t="inlineStr">
        <is>
          <t xml:space="preserve">لوتوس</t>
        </is>
      </c>
      <c r="F114" t="inlineStr">
        <is>
          <t xml:space="preserve">میز تحریر لوتوس</t>
        </is>
      </c>
      <c r="G114" t="inlineStr">
        <is>
          <t xml:space="preserve">lotus-study-desk</t>
        </is>
      </c>
      <c r="H114" t="inlineStr">
        <is>
          <t xml:space="preserve">lotus-study-desk</t>
        </is>
      </c>
      <c r="I114" t="inlineStr">
        <is>
          <t xml:space="preserve">double, teen</t>
        </is>
      </c>
      <c r="J114" t="n">
        <v>287970000</v>
      </c>
      <c r="L114" t="n">
        <v>14</v>
      </c>
      <c r="M114" t="n">
        <v>5</v>
      </c>
      <c r="N114" t="n">
        <v>5</v>
      </c>
      <c r="O114" t="inlineStr">
        <is>
          <t xml:space="preserve">in_stock</t>
        </is>
      </c>
      <c r="P114" t="inlineStr">
        <is>
          <t xml:space="preserve">width:120 · height:75 · depth:60</t>
        </is>
      </c>
      <c r="R114" t="inlineStr">
        <is>
          <t xml:space="preserve">میز تحریر</t>
        </is>
      </c>
      <c r="X114" t="n">
        <v>6</v>
      </c>
      <c r="Y114" t="inlineStr">
        <is>
          <t xml:space="preserve">lotus-study-desk-mid.webp; lotus-study-desk.webp; lotus-study-desk-picture-v2.webp; lotus-study-desk-picture-v3.webp; lotus-study-desk-picture-v4.webp; lotus-study-desk-picture.webp</t>
        </is>
      </c>
      <c r="Z114" t="inlineStr">
        <is>
          <t xml:space="preserve">http://80.240.31.146:3000/api/media/file/lotus-study-desk-mid.webp; http://80.240.31.146:3000/api/media/file/lotus-study-desk.webp; http://80.240.31.146:3000/api/media/file/lotus-study-desk-picture-v2.webp; http://80.240.31.146:3000/api/media/file/lotus-study-desk-picture-v3.webp; http://80.240.31.146:3000/api/media/file/lotus-study-desk-picture-v4.webp; http://80.240.31.146:3000/api/media/file/lotus-study-desk-picture.webp</t>
        </is>
      </c>
    </row>
    <row r="115" ht="48" customHeight="1">
      <c r="A115">
        <f>IMAGE("http://80.240.31.146:3000/_next/image?url=%2Fapi%2Fmedia%2Ffile%2Flotus-standing-mirror.webp&amp;w=256&amp;q=75",4,60,80)</f>
      </c>
      <c r="B115" t="n">
        <v>465</v>
      </c>
      <c r="C115" t="inlineStr">
        <is>
          <t xml:space="preserve">published</t>
        </is>
      </c>
      <c r="D115" t="inlineStr">
        <is>
          <t xml:space="preserve">لوتوس</t>
        </is>
      </c>
      <c r="F115" t="inlineStr">
        <is>
          <t xml:space="preserve">آینه قدی لوتوس</t>
        </is>
      </c>
      <c r="G115" t="inlineStr">
        <is>
          <t xml:space="preserve">lotus-standing-mirror</t>
        </is>
      </c>
      <c r="H115" t="inlineStr">
        <is>
          <t xml:space="preserve">lotus-standing-mirror</t>
        </is>
      </c>
      <c r="I115" t="inlineStr">
        <is>
          <t xml:space="preserve">double, teen</t>
        </is>
      </c>
      <c r="J115" t="n">
        <v>284210000</v>
      </c>
      <c r="L115" t="n">
        <v>14</v>
      </c>
      <c r="M115" t="n">
        <v>5</v>
      </c>
      <c r="N115" t="n">
        <v>5</v>
      </c>
      <c r="O115" t="inlineStr">
        <is>
          <t xml:space="preserve">in_stock</t>
        </is>
      </c>
      <c r="P115" t="inlineStr">
        <is>
          <t xml:space="preserve">width:60 · height:180 · depth:5</t>
        </is>
      </c>
      <c r="R115" t="inlineStr">
        <is>
          <t xml:space="preserve">آینه قدی</t>
        </is>
      </c>
      <c r="X115" t="n">
        <v>4</v>
      </c>
      <c r="Y115" t="inlineStr">
        <is>
          <t xml:space="preserve">lotus-standing-mirror.webp; lotus-standing-mirror-picture-v2.webp; lotus-standing-mirror-picture-v4.webp; lotus-standing-mirror-picture.webp</t>
        </is>
      </c>
      <c r="Z115" t="inlineStr">
        <is>
          <t xml:space="preserve">http://80.240.31.146:3000/api/media/file/lotus-standing-mirror.webp; http://80.240.31.146:3000/api/media/file/lotus-standing-mirror-picture-v2.webp; http://80.240.31.146:3000/api/media/file/lotus-standing-mirror-picture-v4.webp; http://80.240.31.146:3000/api/media/file/lotus-standing-mirror-picture.webp</t>
        </is>
      </c>
    </row>
    <row r="116" ht="48" customHeight="1">
      <c r="A116">
        <f>IMAGE("http://80.240.31.146:3000/_next/image?url=%2Fapi%2Fmedia%2Ffile%2Flotus-single-bed-100.webp&amp;w=256&amp;q=75",4,60,80)</f>
      </c>
      <c r="B116" t="n">
        <v>464</v>
      </c>
      <c r="C116" t="inlineStr">
        <is>
          <t xml:space="preserve">published</t>
        </is>
      </c>
      <c r="D116" t="inlineStr">
        <is>
          <t xml:space="preserve">لوتوس</t>
        </is>
      </c>
      <c r="F116" t="inlineStr">
        <is>
          <t xml:space="preserve">تخت یک نفره لوتوس</t>
        </is>
      </c>
      <c r="G116" t="inlineStr">
        <is>
          <t xml:space="preserve">lotus-single-bed</t>
        </is>
      </c>
      <c r="H116" t="inlineStr">
        <is>
          <t xml:space="preserve">lotus-single-bed</t>
        </is>
      </c>
      <c r="I116" t="inlineStr">
        <is>
          <t xml:space="preserve">double, teen</t>
        </is>
      </c>
      <c r="J116" t="n">
        <v>468930000</v>
      </c>
      <c r="L116" t="n">
        <v>14</v>
      </c>
      <c r="M116" t="n">
        <v>5</v>
      </c>
      <c r="N116" t="n">
        <v>5</v>
      </c>
      <c r="O116" t="inlineStr">
        <is>
          <t xml:space="preserve">in_stock</t>
        </is>
      </c>
      <c r="P116" t="inlineStr">
        <is>
          <t xml:space="preserve">width:100 · height:110 · depth:210</t>
        </is>
      </c>
      <c r="R116" t="inlineStr">
        <is>
          <t xml:space="preserve">تخت یک نفره</t>
        </is>
      </c>
      <c r="X116" t="n">
        <v>3</v>
      </c>
      <c r="Y116" t="inlineStr">
        <is>
          <t xml:space="preserve">lotus-single-bed-100.webp; lotus-single-bed-120-picture-v2.webp; lotus-single-bed-120-picture.webp</t>
        </is>
      </c>
      <c r="Z116" t="inlineStr">
        <is>
          <t xml:space="preserve">http://80.240.31.146:3000/api/media/file/lotus-single-bed-100.webp; http://80.240.31.146:3000/api/media/file/lotus-single-bed-120-picture-v2.webp; http://80.240.31.146:3000/api/media/file/lotus-single-bed-120-picture.webp</t>
        </is>
      </c>
    </row>
    <row r="117" ht="48" customHeight="1">
      <c r="A117">
        <f>IMAGE("http://80.240.31.146:3000/_next/image?url=%2Fapi%2Fmedia%2Ffile%2Flotus-nightstand.webp&amp;w=256&amp;q=75",4,60,80)</f>
      </c>
      <c r="B117" t="n">
        <v>463</v>
      </c>
      <c r="C117" t="inlineStr">
        <is>
          <t xml:space="preserve">published</t>
        </is>
      </c>
      <c r="D117" t="inlineStr">
        <is>
          <t xml:space="preserve">لوتوس</t>
        </is>
      </c>
      <c r="F117" t="inlineStr">
        <is>
          <t xml:space="preserve">پاتختی لوتوس</t>
        </is>
      </c>
      <c r="G117" t="inlineStr">
        <is>
          <t xml:space="preserve">lotus-nightstand</t>
        </is>
      </c>
      <c r="H117" t="inlineStr">
        <is>
          <t xml:space="preserve">lotus-nightstand</t>
        </is>
      </c>
      <c r="I117" t="inlineStr">
        <is>
          <t xml:space="preserve">double, teen</t>
        </is>
      </c>
      <c r="J117" t="n">
        <v>155390000</v>
      </c>
      <c r="L117" t="n">
        <v>14</v>
      </c>
      <c r="M117" t="n">
        <v>5</v>
      </c>
      <c r="N117" t="n">
        <v>5</v>
      </c>
      <c r="O117" t="inlineStr">
        <is>
          <t xml:space="preserve">in_stock</t>
        </is>
      </c>
      <c r="P117" t="inlineStr">
        <is>
          <t xml:space="preserve">width:50 · height:55 · depth:40</t>
        </is>
      </c>
      <c r="R117" t="inlineStr">
        <is>
          <t xml:space="preserve">پاتختی</t>
        </is>
      </c>
      <c r="X117" t="n">
        <v>5</v>
      </c>
      <c r="Y117" t="inlineStr">
        <is>
          <t xml:space="preserve">lotus-nightstand.webp; lotus-nightstand-picture-v2.webp; lotus-nightstand-picture-v3.webp; lotus-nightstand-picture-v4.webp; lotus-nightstand-picture.webp</t>
        </is>
      </c>
      <c r="Z117" t="inlineStr">
        <is>
          <t xml:space="preserve">http://80.240.31.146:3000/api/media/file/lotus-nightstand.webp; http://80.240.31.146:3000/api/media/file/lotus-nightstand-picture-v2.webp; http://80.240.31.146:3000/api/media/file/lotus-nightstand-picture-v3.webp; http://80.240.31.146:3000/api/media/file/lotus-nightstand-picture-v4.webp; http://80.240.31.146:3000/api/media/file/lotus-nightstand-picture.webp</t>
        </is>
      </c>
    </row>
    <row r="118" ht="48" customHeight="1">
      <c r="A118">
        <f>IMAGE("http://80.240.31.146:3000/_next/image?url=%2Fapi%2Fmedia%2Ffile%2Flotus-file-6-drawers.webp&amp;w=256&amp;q=75",4,60,80)</f>
      </c>
      <c r="B118" t="n">
        <v>462</v>
      </c>
      <c r="C118" t="inlineStr">
        <is>
          <t xml:space="preserve">published</t>
        </is>
      </c>
      <c r="D118" t="inlineStr">
        <is>
          <t xml:space="preserve">لوتوس</t>
        </is>
      </c>
      <c r="F118" t="inlineStr">
        <is>
          <t xml:space="preserve">فایل لوتوس</t>
        </is>
      </c>
      <c r="G118" t="inlineStr">
        <is>
          <t xml:space="preserve">lotus-file</t>
        </is>
      </c>
      <c r="H118" t="inlineStr">
        <is>
          <t xml:space="preserve">lotus-file</t>
        </is>
      </c>
      <c r="I118" t="inlineStr">
        <is>
          <t xml:space="preserve">double, teen</t>
        </is>
      </c>
      <c r="J118" t="n">
        <v>635180000</v>
      </c>
      <c r="L118" t="n">
        <v>14</v>
      </c>
      <c r="M118" t="n">
        <v>5</v>
      </c>
      <c r="N118" t="n">
        <v>5</v>
      </c>
      <c r="O118" t="inlineStr">
        <is>
          <t xml:space="preserve">in_stock</t>
        </is>
      </c>
      <c r="P118" t="inlineStr">
        <is>
          <t xml:space="preserve">width:45 · height:120 · depth:50</t>
        </is>
      </c>
      <c r="R118" t="inlineStr">
        <is>
          <t xml:space="preserve">فایل</t>
        </is>
      </c>
      <c r="X118" t="n">
        <v>1</v>
      </c>
      <c r="Y118" t="inlineStr">
        <is>
          <t xml:space="preserve">lotus-file-6-drawers.webp</t>
        </is>
      </c>
      <c r="Z118" t="inlineStr">
        <is>
          <t xml:space="preserve">http://80.240.31.146:3000/api/media/file/lotus-file-6-drawers.webp</t>
        </is>
      </c>
    </row>
    <row r="119" ht="48" customHeight="1">
      <c r="A119">
        <f>IMAGE("http://80.240.31.146:3000/_next/image?url=%2Fapi%2Fmedia%2Ffile%2Flotus-double-bed-160.webp&amp;w=256&amp;q=75",4,60,80)</f>
      </c>
      <c r="B119" t="n">
        <v>461</v>
      </c>
      <c r="C119" t="inlineStr">
        <is>
          <t xml:space="preserve">published</t>
        </is>
      </c>
      <c r="D119" t="inlineStr">
        <is>
          <t xml:space="preserve">لوتوس</t>
        </is>
      </c>
      <c r="F119" t="inlineStr">
        <is>
          <t xml:space="preserve">تخت دونفره لوتوس</t>
        </is>
      </c>
      <c r="G119" t="inlineStr">
        <is>
          <t xml:space="preserve">lotus-double-bed</t>
        </is>
      </c>
      <c r="H119" t="inlineStr">
        <is>
          <t xml:space="preserve">lotus-double-bed</t>
        </is>
      </c>
      <c r="I119" t="inlineStr">
        <is>
          <t xml:space="preserve">double, teen</t>
        </is>
      </c>
      <c r="J119" t="n">
        <v>520320000</v>
      </c>
      <c r="L119" t="n">
        <v>14</v>
      </c>
      <c r="M119" t="n">
        <v>5</v>
      </c>
      <c r="N119" t="n">
        <v>5</v>
      </c>
      <c r="O119" t="inlineStr">
        <is>
          <t xml:space="preserve">in_stock</t>
        </is>
      </c>
      <c r="P119" t="inlineStr">
        <is>
          <t xml:space="preserve">width:160 · height:110 · depth:215</t>
        </is>
      </c>
      <c r="R119" t="inlineStr">
        <is>
          <t xml:space="preserve">تخت دونفره</t>
        </is>
      </c>
      <c r="X119" t="n">
        <v>1</v>
      </c>
      <c r="Y119" t="inlineStr">
        <is>
          <t xml:space="preserve">lotus-double-bed-160.webp</t>
        </is>
      </c>
      <c r="Z119" t="inlineStr">
        <is>
          <t xml:space="preserve">http://80.240.31.146:3000/api/media/file/lotus-double-bed-160.webp</t>
        </is>
      </c>
    </row>
    <row r="120" ht="48" customHeight="1">
      <c r="A120">
        <f>IMAGE("http://80.240.31.146:3000/_next/image?url=%2Fapi%2Fmedia%2Ffile%2Flotus-bookcase-mid.webp&amp;w=256&amp;q=75",4,60,80)</f>
      </c>
      <c r="B120" t="n">
        <v>460</v>
      </c>
      <c r="C120" t="inlineStr">
        <is>
          <t xml:space="preserve">published</t>
        </is>
      </c>
      <c r="D120" t="inlineStr">
        <is>
          <t xml:space="preserve">لوتوس</t>
        </is>
      </c>
      <c r="F120" t="inlineStr">
        <is>
          <t xml:space="preserve">کتابخانه لوتوس</t>
        </is>
      </c>
      <c r="G120" t="inlineStr">
        <is>
          <t xml:space="preserve">lotus-bookcase</t>
        </is>
      </c>
      <c r="H120" t="inlineStr">
        <is>
          <t xml:space="preserve">lotus-bookcase</t>
        </is>
      </c>
      <c r="I120" t="inlineStr">
        <is>
          <t xml:space="preserve">double, teen</t>
        </is>
      </c>
      <c r="J120" t="n">
        <v>372990000</v>
      </c>
      <c r="L120" t="n">
        <v>14</v>
      </c>
      <c r="M120" t="n">
        <v>5</v>
      </c>
      <c r="N120" t="n">
        <v>5</v>
      </c>
      <c r="O120" t="inlineStr">
        <is>
          <t xml:space="preserve">in_stock</t>
        </is>
      </c>
      <c r="P120" t="inlineStr">
        <is>
          <t xml:space="preserve">width:80 · height:200 · depth:35</t>
        </is>
      </c>
      <c r="R120" t="inlineStr">
        <is>
          <t xml:space="preserve">کتابخانه</t>
        </is>
      </c>
      <c r="X120" t="n">
        <v>4</v>
      </c>
      <c r="Y120" t="inlineStr">
        <is>
          <t xml:space="preserve">lotus-bookcase-mid.webp; lotus-bookcase.webp; lotus-bookcase-picture-v2.webp; lotus-bookcase-picture.webp</t>
        </is>
      </c>
      <c r="Z120" t="inlineStr">
        <is>
          <t xml:space="preserve">http://80.240.31.146:3000/api/media/file/lotus-bookcase-mid.webp; http://80.240.31.146:3000/api/media/file/lotus-bookcase.webp; http://80.240.31.146:3000/api/media/file/lotus-bookcase-picture-v2.webp; http://80.240.31.146:3000/api/media/file/lotus-bookcase-picture.webp</t>
        </is>
      </c>
    </row>
    <row r="121" ht="48" customHeight="1">
      <c r="B121" t="n">
        <v>459</v>
      </c>
      <c r="C121" t="inlineStr">
        <is>
          <t xml:space="preserve">draft</t>
        </is>
      </c>
      <c r="D121" t="inlineStr">
        <is>
          <t xml:space="preserve">لوتوس</t>
        </is>
      </c>
      <c r="F121" t="inlineStr">
        <is>
          <t xml:space="preserve">حفاظ تخت لوتوس</t>
        </is>
      </c>
      <c r="G121" t="inlineStr">
        <is>
          <t xml:space="preserve">lotus-bed-guard</t>
        </is>
      </c>
      <c r="H121" t="inlineStr">
        <is>
          <t xml:space="preserve">lotus-bed-guard</t>
        </is>
      </c>
      <c r="I121" t="inlineStr">
        <is>
          <t xml:space="preserve">double, teen</t>
        </is>
      </c>
      <c r="J121" t="n">
        <v>0</v>
      </c>
      <c r="L121" t="n">
        <v>14</v>
      </c>
      <c r="M121" t="n">
        <v>5</v>
      </c>
      <c r="N121" t="n">
        <v>5</v>
      </c>
      <c r="O121" t="inlineStr">
        <is>
          <t xml:space="preserve">made_to_order</t>
        </is>
      </c>
      <c r="P121" t="inlineStr">
        <is>
          <t xml:space="preserve">width:120 · height:110 · depth:210</t>
        </is>
      </c>
      <c r="R121" t="inlineStr">
        <is>
          <t xml:space="preserve">حفاظ تخت</t>
        </is>
      </c>
      <c r="X121" t="n">
        <v>0</v>
      </c>
    </row>
    <row r="122" ht="48" customHeight="1">
      <c r="B122" t="n">
        <v>458</v>
      </c>
      <c r="C122" t="inlineStr">
        <is>
          <t xml:space="preserve">draft</t>
        </is>
      </c>
      <c r="D122" t="inlineStr">
        <is>
          <t xml:space="preserve">لورنا</t>
        </is>
      </c>
      <c r="F122" t="inlineStr">
        <is>
          <t xml:space="preserve">صندلی میز آرایش لورنا</t>
        </is>
      </c>
      <c r="G122" t="inlineStr">
        <is>
          <t xml:space="preserve">lorena-vanity-chair</t>
        </is>
      </c>
      <c r="H122" t="inlineStr">
        <is>
          <t xml:space="preserve">lorena-vanity-chair</t>
        </is>
      </c>
      <c r="I122" t="inlineStr">
        <is>
          <t xml:space="preserve">double</t>
        </is>
      </c>
      <c r="J122" t="n">
        <v>157270000</v>
      </c>
      <c r="L122" t="n">
        <v>14</v>
      </c>
      <c r="M122" t="n">
        <v>5</v>
      </c>
      <c r="N122" t="n">
        <v>5</v>
      </c>
      <c r="O122" t="inlineStr">
        <is>
          <t xml:space="preserve">in_stock</t>
        </is>
      </c>
      <c r="P122" t="inlineStr">
        <is>
          <t xml:space="preserve">width:100 · height:78 · depth:45</t>
        </is>
      </c>
      <c r="R122" t="inlineStr">
        <is>
          <t xml:space="preserve">صندلی میز آرایش</t>
        </is>
      </c>
      <c r="X122" t="n">
        <v>0</v>
      </c>
    </row>
    <row r="123" ht="48" customHeight="1">
      <c r="A123">
        <f>IMAGE("http://80.240.31.146:3000/_next/image?url=%2Fapi%2Fmedia%2Ffile%2Florena-table-mirror.webp&amp;w=256&amp;q=75",4,60,80)</f>
      </c>
      <c r="B123" t="n">
        <v>457</v>
      </c>
      <c r="C123" t="inlineStr">
        <is>
          <t xml:space="preserve">published</t>
        </is>
      </c>
      <c r="D123" t="inlineStr">
        <is>
          <t xml:space="preserve">لورنا</t>
        </is>
      </c>
      <c r="F123" t="inlineStr">
        <is>
          <t xml:space="preserve">آینه رومیزی لورنا</t>
        </is>
      </c>
      <c r="G123" t="inlineStr">
        <is>
          <t xml:space="preserve">lorena-table-mirror</t>
        </is>
      </c>
      <c r="H123" t="inlineStr">
        <is>
          <t xml:space="preserve">lorena-table-mirror</t>
        </is>
      </c>
      <c r="I123" t="inlineStr">
        <is>
          <t xml:space="preserve">double</t>
        </is>
      </c>
      <c r="J123" t="n">
        <v>214610000</v>
      </c>
      <c r="L123" t="n">
        <v>14</v>
      </c>
      <c r="M123" t="n">
        <v>5</v>
      </c>
      <c r="N123" t="n">
        <v>5</v>
      </c>
      <c r="O123" t="inlineStr">
        <is>
          <t xml:space="preserve">in_stock</t>
        </is>
      </c>
      <c r="P123" t="inlineStr">
        <is>
          <t xml:space="preserve">width:60 · height:70 · depth:5</t>
        </is>
      </c>
      <c r="R123" t="inlineStr">
        <is>
          <t xml:space="preserve">آینه رومیزی</t>
        </is>
      </c>
      <c r="X123" t="n">
        <v>1</v>
      </c>
      <c r="Y123" t="inlineStr">
        <is>
          <t xml:space="preserve">lorena-table-mirror.webp</t>
        </is>
      </c>
      <c r="Z123" t="inlineStr">
        <is>
          <t xml:space="preserve">http://80.240.31.146:3000/api/media/file/lorena-table-mirror.webp</t>
        </is>
      </c>
    </row>
    <row r="124" ht="48" customHeight="1">
      <c r="A124">
        <f>IMAGE("http://80.240.31.146:3000/_next/image?url=%2Fapi%2Fmedia%2Ffile%2Florena-standing-mirror.webp&amp;w=256&amp;q=75",4,60,80)</f>
      </c>
      <c r="B124" t="n">
        <v>456</v>
      </c>
      <c r="C124" t="inlineStr">
        <is>
          <t xml:space="preserve">published</t>
        </is>
      </c>
      <c r="D124" t="inlineStr">
        <is>
          <t xml:space="preserve">لورنا</t>
        </is>
      </c>
      <c r="F124" t="inlineStr">
        <is>
          <t xml:space="preserve">آینه قدی لورنا</t>
        </is>
      </c>
      <c r="G124" t="inlineStr">
        <is>
          <t xml:space="preserve">lorena-standing-mirror</t>
        </is>
      </c>
      <c r="H124" t="inlineStr">
        <is>
          <t xml:space="preserve">lorena-standing-mirror</t>
        </is>
      </c>
      <c r="I124" t="inlineStr">
        <is>
          <t xml:space="preserve">double</t>
        </is>
      </c>
      <c r="J124" t="n">
        <v>285410000</v>
      </c>
      <c r="L124" t="n">
        <v>14</v>
      </c>
      <c r="M124" t="n">
        <v>5</v>
      </c>
      <c r="N124" t="n">
        <v>5</v>
      </c>
      <c r="O124" t="inlineStr">
        <is>
          <t xml:space="preserve">in_stock</t>
        </is>
      </c>
      <c r="P124" t="inlineStr">
        <is>
          <t xml:space="preserve">width:60 · height:180 · depth:5</t>
        </is>
      </c>
      <c r="R124" t="inlineStr">
        <is>
          <t xml:space="preserve">آینه قدی</t>
        </is>
      </c>
      <c r="X124" t="n">
        <v>1</v>
      </c>
      <c r="Y124" t="inlineStr">
        <is>
          <t xml:space="preserve">lorena-standing-mirror.webp</t>
        </is>
      </c>
      <c r="Z124" t="inlineStr">
        <is>
          <t xml:space="preserve">http://80.240.31.146:3000/api/media/file/lorena-standing-mirror.webp</t>
        </is>
      </c>
    </row>
    <row r="125" ht="48" customHeight="1">
      <c r="A125">
        <f>IMAGE("http://80.240.31.146:3000/_next/image?url=%2Fapi%2Fmedia%2Ffile%2Florena-nightstand.webp&amp;w=256&amp;q=75",4,60,80)</f>
      </c>
      <c r="B125" t="n">
        <v>455</v>
      </c>
      <c r="C125" t="inlineStr">
        <is>
          <t xml:space="preserve">published</t>
        </is>
      </c>
      <c r="D125" t="inlineStr">
        <is>
          <t xml:space="preserve">لورنا</t>
        </is>
      </c>
      <c r="F125" t="inlineStr">
        <is>
          <t xml:space="preserve">پاتختی لورنا</t>
        </is>
      </c>
      <c r="G125" t="inlineStr">
        <is>
          <t xml:space="preserve">lorena-nightstand</t>
        </is>
      </c>
      <c r="H125" t="inlineStr">
        <is>
          <t xml:space="preserve">lorena-nightstand</t>
        </is>
      </c>
      <c r="I125" t="inlineStr">
        <is>
          <t xml:space="preserve">double</t>
        </is>
      </c>
      <c r="J125" t="n">
        <v>247700000</v>
      </c>
      <c r="L125" t="n">
        <v>14</v>
      </c>
      <c r="M125" t="n">
        <v>5</v>
      </c>
      <c r="N125" t="n">
        <v>5</v>
      </c>
      <c r="O125" t="inlineStr">
        <is>
          <t xml:space="preserve">in_stock</t>
        </is>
      </c>
      <c r="P125" t="inlineStr">
        <is>
          <t xml:space="preserve">width:50 · height:55 · depth:40</t>
        </is>
      </c>
      <c r="R125" t="inlineStr">
        <is>
          <t xml:space="preserve">پاتختی</t>
        </is>
      </c>
      <c r="X125" t="n">
        <v>1</v>
      </c>
      <c r="Y125" t="inlineStr">
        <is>
          <t xml:space="preserve">lorena-nightstand.webp</t>
        </is>
      </c>
      <c r="Z125" t="inlineStr">
        <is>
          <t xml:space="preserve">http://80.240.31.146:3000/api/media/file/lorena-nightstand.webp</t>
        </is>
      </c>
    </row>
    <row r="126" ht="48" customHeight="1">
      <c r="A126">
        <f>IMAGE("http://80.240.31.146:3000/_next/image?url=%2Fapi%2Fmedia%2Ffile%2Florena-double-bed-160.webp&amp;w=256&amp;q=75",4,60,80)</f>
      </c>
      <c r="B126" t="n">
        <v>454</v>
      </c>
      <c r="C126" t="inlineStr">
        <is>
          <t xml:space="preserve">published</t>
        </is>
      </c>
      <c r="D126" t="inlineStr">
        <is>
          <t xml:space="preserve">لورنا</t>
        </is>
      </c>
      <c r="F126" t="inlineStr">
        <is>
          <t xml:space="preserve">تخت دونفره لورنا</t>
        </is>
      </c>
      <c r="G126" t="inlineStr">
        <is>
          <t xml:space="preserve">lorena-double-bed</t>
        </is>
      </c>
      <c r="H126" t="inlineStr">
        <is>
          <t xml:space="preserve">lorena-double-bed</t>
        </is>
      </c>
      <c r="I126" t="inlineStr">
        <is>
          <t xml:space="preserve">double</t>
        </is>
      </c>
      <c r="J126" t="n">
        <v>957280000</v>
      </c>
      <c r="L126" t="n">
        <v>14</v>
      </c>
      <c r="M126" t="n">
        <v>5</v>
      </c>
      <c r="N126" t="n">
        <v>5</v>
      </c>
      <c r="O126" t="inlineStr">
        <is>
          <t xml:space="preserve">in_stock</t>
        </is>
      </c>
      <c r="P126" t="inlineStr">
        <is>
          <t xml:space="preserve">width:160 · height:110 · depth:215</t>
        </is>
      </c>
      <c r="R126" t="inlineStr">
        <is>
          <t xml:space="preserve">تخت دونفره</t>
        </is>
      </c>
      <c r="X126" t="n">
        <v>1</v>
      </c>
      <c r="Y126" t="inlineStr">
        <is>
          <t xml:space="preserve">lorena-double-bed-160.webp</t>
        </is>
      </c>
      <c r="Z126" t="inlineStr">
        <is>
          <t xml:space="preserve">http://80.240.31.146:3000/api/media/file/lorena-double-bed-160.webp</t>
        </is>
      </c>
    </row>
    <row r="127" ht="48" customHeight="1">
      <c r="A127">
        <f>IMAGE("http://80.240.31.146:3000/_next/image?url=%2Fapi%2Fmedia%2Ffile%2Florena-console-6-drawers.webp&amp;w=256&amp;q=75",4,60,80)</f>
      </c>
      <c r="B127" t="n">
        <v>453</v>
      </c>
      <c r="C127" t="inlineStr">
        <is>
          <t xml:space="preserve">published</t>
        </is>
      </c>
      <c r="D127" t="inlineStr">
        <is>
          <t xml:space="preserve">لورنا</t>
        </is>
      </c>
      <c r="F127" t="inlineStr">
        <is>
          <t xml:space="preserve">کنسول لورنا</t>
        </is>
      </c>
      <c r="G127" t="inlineStr">
        <is>
          <t xml:space="preserve">lorena-console</t>
        </is>
      </c>
      <c r="H127" t="inlineStr">
        <is>
          <t xml:space="preserve">lorena-console</t>
        </is>
      </c>
      <c r="I127" t="inlineStr">
        <is>
          <t xml:space="preserve">double</t>
        </is>
      </c>
      <c r="J127" t="n">
        <v>409740000</v>
      </c>
      <c r="L127" t="n">
        <v>14</v>
      </c>
      <c r="M127" t="n">
        <v>5</v>
      </c>
      <c r="N127" t="n">
        <v>5</v>
      </c>
      <c r="O127" t="inlineStr">
        <is>
          <t xml:space="preserve">in_stock</t>
        </is>
      </c>
      <c r="P127" t="inlineStr">
        <is>
          <t xml:space="preserve">width:110 · height:80 · depth:35</t>
        </is>
      </c>
      <c r="R127" t="inlineStr">
        <is>
          <t xml:space="preserve">کنسول</t>
        </is>
      </c>
      <c r="X127" t="n">
        <v>1</v>
      </c>
      <c r="Y127" t="inlineStr">
        <is>
          <t xml:space="preserve">lorena-console-6-drawers.webp</t>
        </is>
      </c>
      <c r="Z127" t="inlineStr">
        <is>
          <t xml:space="preserve">http://80.240.31.146:3000/api/media/file/lorena-console-6-drawers.webp</t>
        </is>
      </c>
    </row>
    <row r="128" ht="48" customHeight="1">
      <c r="A128">
        <f>IMAGE("http://80.240.31.146:3000/_next/image?url=%2Fapi%2Fmedia%2Ffile%2Floof-wardrobe-2-doors-mdf-picture-cream-v2.webp&amp;w=256&amp;q=75",4,60,80)</f>
      </c>
      <c r="B128" t="n">
        <v>452</v>
      </c>
      <c r="C128" t="inlineStr">
        <is>
          <t xml:space="preserve">published</t>
        </is>
      </c>
      <c r="D128" t="inlineStr">
        <is>
          <t xml:space="preserve">لوف</t>
        </is>
      </c>
      <c r="F128" t="inlineStr">
        <is>
          <t xml:space="preserve">کمد لوف</t>
        </is>
      </c>
      <c r="G128" t="inlineStr">
        <is>
          <t xml:space="preserve">loof-wardrobe</t>
        </is>
      </c>
      <c r="H128" t="inlineStr">
        <is>
          <t xml:space="preserve">loof-wardrobe</t>
        </is>
      </c>
      <c r="I128" t="inlineStr">
        <is>
          <t xml:space="preserve">baby, teen</t>
        </is>
      </c>
      <c r="J128" t="n">
        <v>731130000</v>
      </c>
      <c r="L128" t="n">
        <v>14</v>
      </c>
      <c r="M128" t="n">
        <v>5</v>
      </c>
      <c r="N128" t="n">
        <v>5</v>
      </c>
      <c r="O128" t="inlineStr">
        <is>
          <t xml:space="preserve">in_stock</t>
        </is>
      </c>
      <c r="P128" t="inlineStr">
        <is>
          <t xml:space="preserve">width:120 · height:220 · depth:60</t>
        </is>
      </c>
      <c r="R128" t="inlineStr">
        <is>
          <t xml:space="preserve">کمد</t>
        </is>
      </c>
      <c r="X128" t="n">
        <v>11</v>
      </c>
      <c r="Y128" t="inlineStr">
        <is>
          <t xml:space="preserve">loof-wardrobe-2-doors-mdf-picture-cream-v2.webp; loof-cream-kid-loof-wardrobe-2-doors-mdf-picture-cream.webp; loof-wardrobe-2-doors-mdf-cream.webp; loof-wardrobe-3-doors-mdf-cream.webp; loof-wardrobe-3-doors-mdf-v2-cream.webp; loof-wardrobe-3-doors-mdf-v3-cream.webp; loof-wardrobe-2-doors-mdf-open-picture-cream.webp; loof-wardrobe-2-doors-mdf-open-picture-v2-cream.webp; loof-cream-teen-loof-wardrobe-2-doors-mdf-picture-cream.webp; loof-wardrobe-2-doors-mdf-green.webp; loof-wardrobe-3-doors-mdf-green.webp</t>
        </is>
      </c>
      <c r="Z128" t="inlineStr">
        <is>
          <t xml:space="preserve">http://80.240.31.146:3000/api/media/file/loof-wardrobe-2-doors-mdf-picture-cream-v2.webp; http://80.240.31.146:3000/api/media/file/loof-cream-kid-loof-wardrobe-2-doors-mdf-picture-cream.webp; http://80.240.31.146:3000/api/media/file/loof-wardrobe-2-doors-mdf-cream.webp; http://80.240.31.146:3000/api/media/file/loof-wardrobe-3-doors-mdf-cream.webp; http://80.240.31.146:3000/api/media/file/loof-wardrobe-3-doors-mdf-v2-cream.webp; http://80.240.31.146:3000/api/media/file/loof-wardrobe-3-doors-mdf-v3-cream.webp; http://80.240.31.146:3000/api/media/file/loof-wardrobe-2-doors-mdf-open-picture-cream.webp; http://80.240.31.146:3000/api/media/file/loof-wardrobe-2-doors-mdf-open-picture-v2-cream.webp; http://80.240.31.146:3000/api/media/file/loof-cream-teen-loof-wardrobe-2-doors-mdf-picture-cream.webp; http://80.240.31.146:3000/api/media/file/loof-wardrobe-2-doors-mdf-green.webp; http://80.240.31.146:3000/api/media/file/loof-wardrobe-3-doors-mdf-green.webp</t>
        </is>
      </c>
    </row>
    <row r="129" ht="48" customHeight="1">
      <c r="A129">
        <f>IMAGE("http://80.240.31.146:3000/_next/image?url=%2Fapi%2Fmedia%2Ffile%2Floof-wall-shelf-picture-cream.webp&amp;w=256&amp;q=75",4,60,80)</f>
      </c>
      <c r="B129" t="n">
        <v>451</v>
      </c>
      <c r="C129" t="inlineStr">
        <is>
          <t xml:space="preserve">published</t>
        </is>
      </c>
      <c r="D129" t="inlineStr">
        <is>
          <t xml:space="preserve">لوف</t>
        </is>
      </c>
      <c r="F129" t="inlineStr">
        <is>
          <t xml:space="preserve">شلف دیواری لوف</t>
        </is>
      </c>
      <c r="G129" t="inlineStr">
        <is>
          <t xml:space="preserve">loof-wall-shelf</t>
        </is>
      </c>
      <c r="H129" t="inlineStr">
        <is>
          <t xml:space="preserve">loof-wall-shelf</t>
        </is>
      </c>
      <c r="I129" t="inlineStr">
        <is>
          <t xml:space="preserve">baby, teen</t>
        </is>
      </c>
      <c r="J129" t="n">
        <v>78560000</v>
      </c>
      <c r="L129" t="n">
        <v>14</v>
      </c>
      <c r="M129" t="n">
        <v>5</v>
      </c>
      <c r="N129" t="n">
        <v>5</v>
      </c>
      <c r="O129" t="inlineStr">
        <is>
          <t xml:space="preserve">in_stock</t>
        </is>
      </c>
      <c r="P129" t="inlineStr">
        <is>
          <t xml:space="preserve">width:80 · height:25 · depth:25</t>
        </is>
      </c>
      <c r="R129" t="inlineStr">
        <is>
          <t xml:space="preserve">شلف دیواری (براکت)</t>
        </is>
      </c>
      <c r="X129" t="n">
        <v>3</v>
      </c>
      <c r="Y129" t="inlineStr">
        <is>
          <t xml:space="preserve">loof-wall-shelf-picture-cream.webp; loof-wall-shelf-cream.webp; loof-wall-shelf-green.webp</t>
        </is>
      </c>
      <c r="Z129" t="inlineStr">
        <is>
          <t xml:space="preserve">http://80.240.31.146:3000/api/media/file/loof-wall-shelf-picture-cream.webp; http://80.240.31.146:3000/api/media/file/loof-wall-shelf-cream.webp; http://80.240.31.146:3000/api/media/file/loof-wall-shelf-green.webp</t>
        </is>
      </c>
    </row>
    <row r="130" ht="48" customHeight="1">
      <c r="B130" t="n">
        <v>450</v>
      </c>
      <c r="C130" t="inlineStr">
        <is>
          <t xml:space="preserve">draft</t>
        </is>
      </c>
      <c r="D130" t="inlineStr">
        <is>
          <t xml:space="preserve">لوف</t>
        </is>
      </c>
      <c r="F130" t="inlineStr">
        <is>
          <t xml:space="preserve">صندلی میز آرایش لوف</t>
        </is>
      </c>
      <c r="G130" t="inlineStr">
        <is>
          <t xml:space="preserve">loof-vanity-chair</t>
        </is>
      </c>
      <c r="H130" t="inlineStr">
        <is>
          <t xml:space="preserve">loof-vanity-chair</t>
        </is>
      </c>
      <c r="I130" t="inlineStr">
        <is>
          <t xml:space="preserve">baby, teen</t>
        </is>
      </c>
      <c r="J130" t="n">
        <v>163930000</v>
      </c>
      <c r="L130" t="n">
        <v>14</v>
      </c>
      <c r="M130" t="n">
        <v>5</v>
      </c>
      <c r="N130" t="n">
        <v>5</v>
      </c>
      <c r="O130" t="inlineStr">
        <is>
          <t xml:space="preserve">in_stock</t>
        </is>
      </c>
      <c r="P130" t="inlineStr">
        <is>
          <t xml:space="preserve">width:100 · height:78 · depth:45</t>
        </is>
      </c>
      <c r="R130" t="inlineStr">
        <is>
          <t xml:space="preserve">صندلی میز آرایش</t>
        </is>
      </c>
      <c r="X130" t="n">
        <v>0</v>
      </c>
    </row>
    <row r="131" ht="48" customHeight="1">
      <c r="A131">
        <f>IMAGE("http://80.240.31.146:3000/_next/image?url=%2Fapi%2Fmedia%2Ffile%2Floof-vanity-3-drawers-cream.webp&amp;w=256&amp;q=75",4,60,80)</f>
      </c>
      <c r="B131" t="n">
        <v>449</v>
      </c>
      <c r="C131" t="inlineStr">
        <is>
          <t xml:space="preserve">draft</t>
        </is>
      </c>
      <c r="D131" t="inlineStr">
        <is>
          <t xml:space="preserve">لوف</t>
        </is>
      </c>
      <c r="F131" t="inlineStr">
        <is>
          <t xml:space="preserve">میز آرایش لوف</t>
        </is>
      </c>
      <c r="G131" t="inlineStr">
        <is>
          <t xml:space="preserve">loof-vanity</t>
        </is>
      </c>
      <c r="H131" t="inlineStr">
        <is>
          <t xml:space="preserve">loof-vanity</t>
        </is>
      </c>
      <c r="I131" t="inlineStr">
        <is>
          <t xml:space="preserve">baby, teen</t>
        </is>
      </c>
      <c r="J131" t="n">
        <v>0</v>
      </c>
      <c r="L131" t="n">
        <v>14</v>
      </c>
      <c r="M131" t="n">
        <v>5</v>
      </c>
      <c r="N131" t="n">
        <v>5</v>
      </c>
      <c r="O131" t="inlineStr">
        <is>
          <t xml:space="preserve">made_to_order</t>
        </is>
      </c>
      <c r="P131" t="inlineStr">
        <is>
          <t xml:space="preserve">width:100 · height:78 · depth:45</t>
        </is>
      </c>
      <c r="R131" t="inlineStr">
        <is>
          <t xml:space="preserve">میز آرایش</t>
        </is>
      </c>
      <c r="X131" t="n">
        <v>3</v>
      </c>
      <c r="Y131" t="inlineStr">
        <is>
          <t xml:space="preserve">loof-vanity-3-drawers-cream.webp; loof-vanity-3-drawers-picture-cream.webp; loof-vanity-3-drawers-green.webp</t>
        </is>
      </c>
      <c r="Z131" t="inlineStr">
        <is>
          <t xml:space="preserve">http://80.240.31.146:3000/api/media/file/loof-vanity-3-drawers-cream.webp; http://80.240.31.146:3000/api/media/file/loof-vanity-3-drawers-picture-cream.webp; http://80.240.31.146:3000/api/media/file/loof-vanity-3-drawers-green.webp</t>
        </is>
      </c>
    </row>
    <row r="132" ht="48" customHeight="1">
      <c r="A132">
        <f>IMAGE("http://80.240.31.146:3000/_next/image?url=%2Fapi%2Fmedia%2Ffile%2Floof-table-mirror-green.webp&amp;w=256&amp;q=75",4,60,80)</f>
      </c>
      <c r="B132" t="n">
        <v>448</v>
      </c>
      <c r="C132" t="inlineStr">
        <is>
          <t xml:space="preserve">published</t>
        </is>
      </c>
      <c r="D132" t="inlineStr">
        <is>
          <t xml:space="preserve">لوف</t>
        </is>
      </c>
      <c r="F132" t="inlineStr">
        <is>
          <t xml:space="preserve">آینه رومیزی لوف</t>
        </is>
      </c>
      <c r="G132" t="inlineStr">
        <is>
          <t xml:space="preserve">loof-table-mirror</t>
        </is>
      </c>
      <c r="H132" t="inlineStr">
        <is>
          <t xml:space="preserve">loof-table-mirror</t>
        </is>
      </c>
      <c r="I132" t="inlineStr">
        <is>
          <t xml:space="preserve">baby, teen</t>
        </is>
      </c>
      <c r="J132" t="n">
        <v>110040000</v>
      </c>
      <c r="L132" t="n">
        <v>14</v>
      </c>
      <c r="M132" t="n">
        <v>5</v>
      </c>
      <c r="N132" t="n">
        <v>5</v>
      </c>
      <c r="O132" t="inlineStr">
        <is>
          <t xml:space="preserve">in_stock</t>
        </is>
      </c>
      <c r="P132" t="inlineStr">
        <is>
          <t xml:space="preserve">width:60 · height:70 · depth:5</t>
        </is>
      </c>
      <c r="R132" t="inlineStr">
        <is>
          <t xml:space="preserve">آینه رومیزی</t>
        </is>
      </c>
      <c r="X132" t="n">
        <v>1</v>
      </c>
      <c r="Y132" t="inlineStr">
        <is>
          <t xml:space="preserve">loof-table-mirror-green.webp</t>
        </is>
      </c>
      <c r="Z132" t="inlineStr">
        <is>
          <t xml:space="preserve">http://80.240.31.146:3000/api/media/file/loof-table-mirror-green.webp</t>
        </is>
      </c>
    </row>
    <row r="133" ht="48" customHeight="1">
      <c r="A133">
        <f>IMAGE("http://80.240.31.146:3000/_next/image?url=%2Fapi%2Fmedia%2Ffile%2Floof-study-desk-cream.webp&amp;w=256&amp;q=75",4,60,80)</f>
      </c>
      <c r="B133" t="n">
        <v>447</v>
      </c>
      <c r="C133" t="inlineStr">
        <is>
          <t xml:space="preserve">published</t>
        </is>
      </c>
      <c r="D133" t="inlineStr">
        <is>
          <t xml:space="preserve">لوف</t>
        </is>
      </c>
      <c r="F133" t="inlineStr">
        <is>
          <t xml:space="preserve">میز تحریر لوف</t>
        </is>
      </c>
      <c r="G133" t="inlineStr">
        <is>
          <t xml:space="preserve">loof-study-desk</t>
        </is>
      </c>
      <c r="H133" t="inlineStr">
        <is>
          <t xml:space="preserve">loof-study-desk</t>
        </is>
      </c>
      <c r="I133" t="inlineStr">
        <is>
          <t xml:space="preserve">baby, teen</t>
        </is>
      </c>
      <c r="J133" t="n">
        <v>484400000</v>
      </c>
      <c r="L133" t="n">
        <v>14</v>
      </c>
      <c r="M133" t="n">
        <v>5</v>
      </c>
      <c r="N133" t="n">
        <v>5</v>
      </c>
      <c r="O133" t="inlineStr">
        <is>
          <t xml:space="preserve">in_stock</t>
        </is>
      </c>
      <c r="P133" t="inlineStr">
        <is>
          <t xml:space="preserve">width:120 · height:75 · depth:60</t>
        </is>
      </c>
      <c r="R133" t="inlineStr">
        <is>
          <t xml:space="preserve">میز تحریر</t>
        </is>
      </c>
      <c r="X133" t="n">
        <v>5</v>
      </c>
      <c r="Y133" t="inlineStr">
        <is>
          <t xml:space="preserve">loof-study-desk-cream.webp; loof-study-desk-picture-cream.webp; loof-study-desk-picture-v2-cream.webp; loof-study-desk-picture-v3-cream.webp; loof-study-desk-green.webp</t>
        </is>
      </c>
      <c r="Z133" t="inlineStr">
        <is>
          <t xml:space="preserve">http://80.240.31.146:3000/api/media/file/loof-study-desk-cream.webp; http://80.240.31.146:3000/api/media/file/loof-study-desk-picture-cream.webp; http://80.240.31.146:3000/api/media/file/loof-study-desk-picture-v2-cream.webp; http://80.240.31.146:3000/api/media/file/loof-study-desk-picture-v3-cream.webp; http://80.240.31.146:3000/api/media/file/loof-study-desk-green.webp</t>
        </is>
      </c>
    </row>
    <row r="134" ht="48" customHeight="1">
      <c r="B134" t="n">
        <v>446</v>
      </c>
      <c r="C134" t="inlineStr">
        <is>
          <t xml:space="preserve">draft</t>
        </is>
      </c>
      <c r="D134" t="inlineStr">
        <is>
          <t xml:space="preserve">لوف</t>
        </is>
      </c>
      <c r="F134" t="inlineStr">
        <is>
          <t xml:space="preserve">صندلی میز تحریر لوف</t>
        </is>
      </c>
      <c r="G134" t="inlineStr">
        <is>
          <t xml:space="preserve">loof-study-chair</t>
        </is>
      </c>
      <c r="H134" t="inlineStr">
        <is>
          <t xml:space="preserve">loof-study-chair</t>
        </is>
      </c>
      <c r="I134" t="inlineStr">
        <is>
          <t xml:space="preserve">baby, teen</t>
        </is>
      </c>
      <c r="J134" t="n">
        <v>0</v>
      </c>
      <c r="L134" t="n">
        <v>14</v>
      </c>
      <c r="M134" t="n">
        <v>5</v>
      </c>
      <c r="N134" t="n">
        <v>5</v>
      </c>
      <c r="O134" t="inlineStr">
        <is>
          <t xml:space="preserve">made_to_order</t>
        </is>
      </c>
      <c r="P134" t="inlineStr">
        <is>
          <t xml:space="preserve">width:50 · height:85 · depth:50</t>
        </is>
      </c>
      <c r="R134" t="inlineStr">
        <is>
          <t xml:space="preserve">صندلی میز تحریر</t>
        </is>
      </c>
      <c r="X134" t="n">
        <v>0</v>
      </c>
    </row>
    <row r="135" ht="48" customHeight="1">
      <c r="A135">
        <f>IMAGE("http://80.240.31.146:3000/_next/image?url=%2Fapi%2Fmedia%2Ffile%2Floof-standing-mirror-cream.webp&amp;w=256&amp;q=75",4,60,80)</f>
      </c>
      <c r="B135" t="n">
        <v>445</v>
      </c>
      <c r="C135" t="inlineStr">
        <is>
          <t xml:space="preserve">published</t>
        </is>
      </c>
      <c r="D135" t="inlineStr">
        <is>
          <t xml:space="preserve">لوف</t>
        </is>
      </c>
      <c r="F135" t="inlineStr">
        <is>
          <t xml:space="preserve">آینه قدی لوف</t>
        </is>
      </c>
      <c r="G135" t="inlineStr">
        <is>
          <t xml:space="preserve">loof-standing-mirror</t>
        </is>
      </c>
      <c r="H135" t="inlineStr">
        <is>
          <t xml:space="preserve">loof-standing-mirror</t>
        </is>
      </c>
      <c r="I135" t="inlineStr">
        <is>
          <t xml:space="preserve">baby, teen</t>
        </is>
      </c>
      <c r="J135" t="n">
        <v>331560000</v>
      </c>
      <c r="L135" t="n">
        <v>14</v>
      </c>
      <c r="M135" t="n">
        <v>5</v>
      </c>
      <c r="N135" t="n">
        <v>5</v>
      </c>
      <c r="O135" t="inlineStr">
        <is>
          <t xml:space="preserve">in_stock</t>
        </is>
      </c>
      <c r="P135" t="inlineStr">
        <is>
          <t xml:space="preserve">width:60 · height:180 · depth:5</t>
        </is>
      </c>
      <c r="R135" t="inlineStr">
        <is>
          <t xml:space="preserve">آینه قدی</t>
        </is>
      </c>
      <c r="X135" t="n">
        <v>4</v>
      </c>
      <c r="Y135" t="inlineStr">
        <is>
          <t xml:space="preserve">loof-standing-mirror-cream.webp; loof-standing-mirror-picture-cream.webp; loof-standing-mirror-picture-v2-cream.webp; loof-standing-mirror-green.webp</t>
        </is>
      </c>
      <c r="Z135" t="inlineStr">
        <is>
          <t xml:space="preserve">http://80.240.31.146:3000/api/media/file/loof-standing-mirror-cream.webp; http://80.240.31.146:3000/api/media/file/loof-standing-mirror-picture-cream.webp; http://80.240.31.146:3000/api/media/file/loof-standing-mirror-picture-v2-cream.webp; http://80.240.31.146:3000/api/media/file/loof-standing-mirror-green.webp</t>
        </is>
      </c>
    </row>
    <row r="136" ht="48" customHeight="1">
      <c r="A136">
        <f>IMAGE("http://80.240.31.146:3000/_next/image?url=%2Fapi%2Fmedia%2Ffile%2Floof-single-bed-120-cream.webp&amp;w=256&amp;q=75",4,60,80)</f>
      </c>
      <c r="B136" t="n">
        <v>444</v>
      </c>
      <c r="C136" t="inlineStr">
        <is>
          <t xml:space="preserve">published</t>
        </is>
      </c>
      <c r="D136" t="inlineStr">
        <is>
          <t xml:space="preserve">لوف</t>
        </is>
      </c>
      <c r="F136" t="inlineStr">
        <is>
          <t xml:space="preserve">تخت یک نفره لوف</t>
        </is>
      </c>
      <c r="G136" t="inlineStr">
        <is>
          <t xml:space="preserve">loof-single-bed</t>
        </is>
      </c>
      <c r="H136" t="inlineStr">
        <is>
          <t xml:space="preserve">loof-single-bed</t>
        </is>
      </c>
      <c r="I136" t="inlineStr">
        <is>
          <t xml:space="preserve">baby, teen</t>
        </is>
      </c>
      <c r="J136" t="n">
        <v>424860000</v>
      </c>
      <c r="L136" t="n">
        <v>14</v>
      </c>
      <c r="M136" t="n">
        <v>5</v>
      </c>
      <c r="N136" t="n">
        <v>5</v>
      </c>
      <c r="O136" t="inlineStr">
        <is>
          <t xml:space="preserve">in_stock</t>
        </is>
      </c>
      <c r="P136" t="inlineStr">
        <is>
          <t xml:space="preserve">width:100 · height:110 · depth:210</t>
        </is>
      </c>
      <c r="R136" t="inlineStr">
        <is>
          <t xml:space="preserve">تخت یک نفره</t>
        </is>
      </c>
      <c r="X136" t="n">
        <v>4</v>
      </c>
      <c r="Y136" t="inlineStr">
        <is>
          <t xml:space="preserve">loof-single-bed-120-cream.webp; loof-single-bed-120-picture-cream.webp; loof-single-bed-120-picture-v2-cream.webp; loof-single-bed-120-green.webp</t>
        </is>
      </c>
      <c r="Z136" t="inlineStr">
        <is>
          <t xml:space="preserve">http://80.240.31.146:3000/api/media/file/loof-single-bed-120-cream.webp; http://80.240.31.146:3000/api/media/file/loof-single-bed-120-picture-cream.webp; http://80.240.31.146:3000/api/media/file/loof-single-bed-120-picture-v2-cream.webp; http://80.240.31.146:3000/api/media/file/loof-single-bed-120-green.webp</t>
        </is>
      </c>
    </row>
    <row r="137" ht="48" customHeight="1">
      <c r="A137">
        <f>IMAGE("http://80.240.31.146:3000/_next/image?url=%2Fapi%2Fmedia%2Ffile%2Floof-nightstand-cream.webp&amp;w=256&amp;q=75",4,60,80)</f>
      </c>
      <c r="B137" t="n">
        <v>443</v>
      </c>
      <c r="C137" t="inlineStr">
        <is>
          <t xml:space="preserve">published</t>
        </is>
      </c>
      <c r="D137" t="inlineStr">
        <is>
          <t xml:space="preserve">لوف</t>
        </is>
      </c>
      <c r="F137" t="inlineStr">
        <is>
          <t xml:space="preserve">پاتختی لوف</t>
        </is>
      </c>
      <c r="G137" t="inlineStr">
        <is>
          <t xml:space="preserve">loof-nightstand</t>
        </is>
      </c>
      <c r="H137" t="inlineStr">
        <is>
          <t xml:space="preserve">loof-nightstand</t>
        </is>
      </c>
      <c r="I137" t="inlineStr">
        <is>
          <t xml:space="preserve">baby, teen</t>
        </is>
      </c>
      <c r="J137" t="n">
        <v>210060000</v>
      </c>
      <c r="L137" t="n">
        <v>14</v>
      </c>
      <c r="M137" t="n">
        <v>5</v>
      </c>
      <c r="N137" t="n">
        <v>5</v>
      </c>
      <c r="O137" t="inlineStr">
        <is>
          <t xml:space="preserve">in_stock</t>
        </is>
      </c>
      <c r="P137" t="inlineStr">
        <is>
          <t xml:space="preserve">width:50 · height:55 · depth:40</t>
        </is>
      </c>
      <c r="R137" t="inlineStr">
        <is>
          <t xml:space="preserve">پاتختی</t>
        </is>
      </c>
      <c r="X137" t="n">
        <v>6</v>
      </c>
      <c r="Y137" t="inlineStr">
        <is>
          <t xml:space="preserve">loof-nightstand-cream.webp; loof-nightstand-picture-cream.webp; loof-nightstand-picture-v2-cream.webp; loof-nightstand-high-green.webp; loof-nightstand-high-v2-green.webp; loof-nightstand-mid-green.webp</t>
        </is>
      </c>
      <c r="Z137" t="inlineStr">
        <is>
          <t xml:space="preserve">http://80.240.31.146:3000/api/media/file/loof-nightstand-cream.webp; http://80.240.31.146:3000/api/media/file/loof-nightstand-picture-cream.webp; http://80.240.31.146:3000/api/media/file/loof-nightstand-picture-v2-cream.webp; http://80.240.31.146:3000/api/media/file/loof-nightstand-high-green.webp; http://80.240.31.146:3000/api/media/file/loof-nightstand-high-v2-green.webp; http://80.240.31.146:3000/api/media/file/loof-nightstand-mid-green.webp</t>
        </is>
      </c>
    </row>
    <row r="138" ht="48" customHeight="1">
      <c r="B138" t="n">
        <v>442</v>
      </c>
      <c r="C138" t="inlineStr">
        <is>
          <t xml:space="preserve">draft</t>
        </is>
      </c>
      <c r="D138" t="inlineStr">
        <is>
          <t xml:space="preserve">لوف</t>
        </is>
      </c>
      <c r="F138" t="inlineStr">
        <is>
          <t xml:space="preserve">تخت دونفره لوف</t>
        </is>
      </c>
      <c r="G138" t="inlineStr">
        <is>
          <t xml:space="preserve">loof-double-bed</t>
        </is>
      </c>
      <c r="H138" t="inlineStr">
        <is>
          <t xml:space="preserve">loof-double-bed</t>
        </is>
      </c>
      <c r="I138" t="inlineStr">
        <is>
          <t xml:space="preserve">baby, teen</t>
        </is>
      </c>
      <c r="J138" t="n">
        <v>534130000</v>
      </c>
      <c r="L138" t="n">
        <v>14</v>
      </c>
      <c r="M138" t="n">
        <v>5</v>
      </c>
      <c r="N138" t="n">
        <v>5</v>
      </c>
      <c r="O138" t="inlineStr">
        <is>
          <t xml:space="preserve">in_stock</t>
        </is>
      </c>
      <c r="P138" t="inlineStr">
        <is>
          <t xml:space="preserve">width:160 · height:110 · depth:215</t>
        </is>
      </c>
      <c r="R138" t="inlineStr">
        <is>
          <t xml:space="preserve">تخت دونفره</t>
        </is>
      </c>
      <c r="X138" t="n">
        <v>0</v>
      </c>
    </row>
    <row r="139" ht="48" customHeight="1">
      <c r="A139">
        <f>IMAGE("http://80.240.31.146:3000/_next/image?url=%2Fapi%2Fmedia%2Ffile%2Floof-display-cabinet-picture-cream-v2.webp&amp;w=256&amp;q=75",4,60,80)</f>
      </c>
      <c r="B139" t="n">
        <v>441</v>
      </c>
      <c r="C139" t="inlineStr">
        <is>
          <t xml:space="preserve">published</t>
        </is>
      </c>
      <c r="D139" t="inlineStr">
        <is>
          <t xml:space="preserve">لوف</t>
        </is>
      </c>
      <c r="F139" t="inlineStr">
        <is>
          <t xml:space="preserve">ویترین لوف</t>
        </is>
      </c>
      <c r="G139" t="inlineStr">
        <is>
          <t xml:space="preserve">loof-display-cabinet</t>
        </is>
      </c>
      <c r="H139" t="inlineStr">
        <is>
          <t xml:space="preserve">loof-display-cabinet</t>
        </is>
      </c>
      <c r="I139" t="inlineStr">
        <is>
          <t xml:space="preserve">baby, teen</t>
        </is>
      </c>
      <c r="J139" t="n">
        <v>518370000</v>
      </c>
      <c r="L139" t="n">
        <v>14</v>
      </c>
      <c r="M139" t="n">
        <v>5</v>
      </c>
      <c r="N139" t="n">
        <v>5</v>
      </c>
      <c r="O139" t="inlineStr">
        <is>
          <t xml:space="preserve">in_stock</t>
        </is>
      </c>
      <c r="P139" t="inlineStr">
        <is>
          <t xml:space="preserve">width:100 · height:180 · depth:40</t>
        </is>
      </c>
      <c r="R139" t="inlineStr">
        <is>
          <t xml:space="preserve">ویترین</t>
        </is>
      </c>
      <c r="X139" t="n">
        <v>4</v>
      </c>
      <c r="Y139" t="inlineStr">
        <is>
          <t xml:space="preserve">loof-display-cabinet-picture-cream-v2.webp; loof-display-cabinet-picture-cream.webp; loof-display-cabinet-cream.webp; loof-display-cabinet-green.webp</t>
        </is>
      </c>
      <c r="Z139" t="inlineStr">
        <is>
          <t xml:space="preserve">http://80.240.31.146:3000/api/media/file/loof-display-cabinet-picture-cream-v2.webp; http://80.240.31.146:3000/api/media/file/loof-display-cabinet-picture-cream.webp; http://80.240.31.146:3000/api/media/file/loof-display-cabinet-cream.webp; http://80.240.31.146:3000/api/media/file/loof-display-cabinet-green.webp</t>
        </is>
      </c>
    </row>
    <row r="140" ht="48" customHeight="1">
      <c r="A140">
        <f>IMAGE("http://80.240.31.146:3000/_next/image?url=%2Fapi%2Fmedia%2Ffile%2Floof-convertible-bed-teen-picture-cream-v2.webp&amp;w=256&amp;q=75",4,60,80)</f>
      </c>
      <c r="B140" t="n">
        <v>440</v>
      </c>
      <c r="C140" t="inlineStr">
        <is>
          <t xml:space="preserve">published</t>
        </is>
      </c>
      <c r="D140" t="inlineStr">
        <is>
          <t xml:space="preserve">لوف</t>
        </is>
      </c>
      <c r="F140" t="inlineStr">
        <is>
          <t xml:space="preserve">تخت نوزاد دومنظوره لوف</t>
        </is>
      </c>
      <c r="G140" t="inlineStr">
        <is>
          <t xml:space="preserve">loof-convertible-bed</t>
        </is>
      </c>
      <c r="H140" t="inlineStr">
        <is>
          <t xml:space="preserve">loof-convertible-bed</t>
        </is>
      </c>
      <c r="I140" t="inlineStr">
        <is>
          <t xml:space="preserve">baby, teen</t>
        </is>
      </c>
      <c r="J140" t="n">
        <v>725070000</v>
      </c>
      <c r="L140" t="n">
        <v>14</v>
      </c>
      <c r="M140" t="n">
        <v>5</v>
      </c>
      <c r="N140" t="n">
        <v>5</v>
      </c>
      <c r="O140" t="inlineStr">
        <is>
          <t xml:space="preserve">in_stock</t>
        </is>
      </c>
      <c r="P140" t="inlineStr">
        <is>
          <t xml:space="preserve">width:90 · height:105 · depth:195</t>
        </is>
      </c>
      <c r="R140" t="inlineStr">
        <is>
          <t xml:space="preserve">تخت نوزاد دومظوره (نوزاد نوجوان، کاناپه ای)</t>
        </is>
      </c>
      <c r="X140" t="n">
        <v>3</v>
      </c>
      <c r="Y140" t="inlineStr">
        <is>
          <t xml:space="preserve">loof-convertible-bed-teen-picture-cream-v2.webp; loof-convertible-bed-teen-picture-cream.webp; loof-convertible-bed-teen-cream.webp</t>
        </is>
      </c>
      <c r="Z140" t="inlineStr">
        <is>
          <t xml:space="preserve">http://80.240.31.146:3000/api/media/file/loof-convertible-bed-teen-picture-cream-v2.webp; http://80.240.31.146:3000/api/media/file/loof-convertible-bed-teen-picture-cream.webp; http://80.240.31.146:3000/api/media/file/loof-convertible-bed-teen-cream.webp</t>
        </is>
      </c>
    </row>
    <row r="141" ht="48" customHeight="1">
      <c r="A141">
        <f>IMAGE("http://80.240.31.146:3000/_next/image?url=%2Fapi%2Fmedia%2Ffile%2Floof-changing-top-green.webp&amp;w=256&amp;q=75",4,60,80)</f>
      </c>
      <c r="B141" t="n">
        <v>439</v>
      </c>
      <c r="C141" t="inlineStr">
        <is>
          <t xml:space="preserve">published</t>
        </is>
      </c>
      <c r="D141" t="inlineStr">
        <is>
          <t xml:space="preserve">لوف</t>
        </is>
      </c>
      <c r="F141" t="inlineStr">
        <is>
          <t xml:space="preserve">صفحه تعویض لوف</t>
        </is>
      </c>
      <c r="G141" t="inlineStr">
        <is>
          <t xml:space="preserve">loof-changing-top</t>
        </is>
      </c>
      <c r="H141" t="inlineStr">
        <is>
          <t xml:space="preserve">loof-changing-top</t>
        </is>
      </c>
      <c r="I141" t="inlineStr">
        <is>
          <t xml:space="preserve">baby, teen</t>
        </is>
      </c>
      <c r="J141" t="n">
        <v>68160000</v>
      </c>
      <c r="L141" t="n">
        <v>14</v>
      </c>
      <c r="M141" t="n">
        <v>5</v>
      </c>
      <c r="N141" t="n">
        <v>5</v>
      </c>
      <c r="O141" t="inlineStr">
        <is>
          <t xml:space="preserve">in_stock</t>
        </is>
      </c>
      <c r="P141" t="inlineStr">
        <is>
          <t xml:space="preserve">width:80 · height:8 · depth:55</t>
        </is>
      </c>
      <c r="R141" t="inlineStr">
        <is>
          <t xml:space="preserve">صفحه میز تعویض</t>
        </is>
      </c>
      <c r="X141" t="n">
        <v>1</v>
      </c>
      <c r="Y141" t="inlineStr">
        <is>
          <t xml:space="preserve">loof-changing-top-green.webp</t>
        </is>
      </c>
      <c r="Z141" t="inlineStr">
        <is>
          <t xml:space="preserve">http://80.240.31.146:3000/api/media/file/loof-changing-top-green.webp</t>
        </is>
      </c>
    </row>
    <row r="142" ht="48" customHeight="1">
      <c r="A142">
        <f>IMAGE("http://80.240.31.146:3000/_next/image?url=%2Fapi%2Fmedia%2Ffile%2Floof-changing-table-picture-cream-v2.webp&amp;w=256&amp;q=75",4,60,80)</f>
      </c>
      <c r="B142" t="n">
        <v>438</v>
      </c>
      <c r="C142" t="inlineStr">
        <is>
          <t xml:space="preserve">published</t>
        </is>
      </c>
      <c r="D142" t="inlineStr">
        <is>
          <t xml:space="preserve">لوف</t>
        </is>
      </c>
      <c r="F142" t="inlineStr">
        <is>
          <t xml:space="preserve">میز تعویض لوف</t>
        </is>
      </c>
      <c r="G142" t="inlineStr">
        <is>
          <t xml:space="preserve">loof-changing-table</t>
        </is>
      </c>
      <c r="H142" t="inlineStr">
        <is>
          <t xml:space="preserve">loof-changing-table</t>
        </is>
      </c>
      <c r="I142" t="inlineStr">
        <is>
          <t xml:space="preserve">baby, teen</t>
        </is>
      </c>
      <c r="J142" t="n">
        <v>496550000</v>
      </c>
      <c r="L142" t="n">
        <v>14</v>
      </c>
      <c r="M142" t="n">
        <v>5</v>
      </c>
      <c r="N142" t="n">
        <v>5</v>
      </c>
      <c r="O142" t="inlineStr">
        <is>
          <t xml:space="preserve">in_stock</t>
        </is>
      </c>
      <c r="P142" t="inlineStr">
        <is>
          <t xml:space="preserve">width:80 · height:95 · depth:50</t>
        </is>
      </c>
      <c r="R142" t="inlineStr">
        <is>
          <t xml:space="preserve">میز تعویض</t>
        </is>
      </c>
      <c r="X142" t="n">
        <v>5</v>
      </c>
      <c r="Y142" t="inlineStr">
        <is>
          <t xml:space="preserve">loof-changing-table-picture-cream-v2.webp; loof-changing-table-picture-cream.webp; loof-changing-table-picture-v2-cream.webp; loof-changing-table-cream.webp; loof-changing-table-green.webp</t>
        </is>
      </c>
      <c r="Z142" t="inlineStr">
        <is>
          <t xml:space="preserve">http://80.240.31.146:3000/api/media/file/loof-changing-table-picture-cream-v2.webp; http://80.240.31.146:3000/api/media/file/loof-changing-table-picture-cream.webp; http://80.240.31.146:3000/api/media/file/loof-changing-table-picture-v2-cream.webp; http://80.240.31.146:3000/api/media/file/loof-changing-table-cream.webp; http://80.240.31.146:3000/api/media/file/loof-changing-table-green.webp</t>
        </is>
      </c>
    </row>
    <row r="143" ht="48" customHeight="1">
      <c r="A143">
        <f>IMAGE("http://80.240.31.146:3000/_next/image?url=%2Fapi%2Fmedia%2Ffile%2Floof-bookcase-cream.webp&amp;w=256&amp;q=75",4,60,80)</f>
      </c>
      <c r="B143" t="n">
        <v>437</v>
      </c>
      <c r="C143" t="inlineStr">
        <is>
          <t xml:space="preserve">published</t>
        </is>
      </c>
      <c r="D143" t="inlineStr">
        <is>
          <t xml:space="preserve">لوف</t>
        </is>
      </c>
      <c r="F143" t="inlineStr">
        <is>
          <t xml:space="preserve">کتابخانه لوف</t>
        </is>
      </c>
      <c r="G143" t="inlineStr">
        <is>
          <t xml:space="preserve">loof-bookcase</t>
        </is>
      </c>
      <c r="H143" t="inlineStr">
        <is>
          <t xml:space="preserve">loof-bookcase</t>
        </is>
      </c>
      <c r="I143" t="inlineStr">
        <is>
          <t xml:space="preserve">baby, teen</t>
        </is>
      </c>
      <c r="J143" t="n">
        <v>378480000</v>
      </c>
      <c r="L143" t="n">
        <v>14</v>
      </c>
      <c r="M143" t="n">
        <v>5</v>
      </c>
      <c r="N143" t="n">
        <v>5</v>
      </c>
      <c r="O143" t="inlineStr">
        <is>
          <t xml:space="preserve">in_stock</t>
        </is>
      </c>
      <c r="P143" t="inlineStr">
        <is>
          <t xml:space="preserve">width:80 · height:200 · depth:35</t>
        </is>
      </c>
      <c r="R143" t="inlineStr">
        <is>
          <t xml:space="preserve">کتابخانه</t>
        </is>
      </c>
      <c r="X143" t="n">
        <v>4</v>
      </c>
      <c r="Y143" t="inlineStr">
        <is>
          <t xml:space="preserve">loof-bookcase-cream.webp; loof-bookcase-picture-cream.webp; loof-bookcase-picture-v2-cream.webp; loof-bookcase-green.webp</t>
        </is>
      </c>
      <c r="Z143" t="inlineStr">
        <is>
          <t xml:space="preserve">http://80.240.31.146:3000/api/media/file/loof-bookcase-cream.webp; http://80.240.31.146:3000/api/media/file/loof-bookcase-picture-cream.webp; http://80.240.31.146:3000/api/media/file/loof-bookcase-picture-v2-cream.webp; http://80.240.31.146:3000/api/media/file/loof-bookcase-green.webp</t>
        </is>
      </c>
    </row>
    <row r="144" ht="48" customHeight="1">
      <c r="B144" t="n">
        <v>436</v>
      </c>
      <c r="C144" t="inlineStr">
        <is>
          <t xml:space="preserve">draft</t>
        </is>
      </c>
      <c r="D144" t="inlineStr">
        <is>
          <t xml:space="preserve">لوف</t>
        </is>
      </c>
      <c r="F144" t="inlineStr">
        <is>
          <t xml:space="preserve">حفاظ تخت لوف</t>
        </is>
      </c>
      <c r="G144" t="inlineStr">
        <is>
          <t xml:space="preserve">loof-bed-guard</t>
        </is>
      </c>
      <c r="H144" t="inlineStr">
        <is>
          <t xml:space="preserve">loof-bed-guard</t>
        </is>
      </c>
      <c r="I144" t="inlineStr">
        <is>
          <t xml:space="preserve">baby, teen</t>
        </is>
      </c>
      <c r="J144" t="n">
        <v>0</v>
      </c>
      <c r="L144" t="n">
        <v>14</v>
      </c>
      <c r="M144" t="n">
        <v>5</v>
      </c>
      <c r="N144" t="n">
        <v>5</v>
      </c>
      <c r="O144" t="inlineStr">
        <is>
          <t xml:space="preserve">made_to_order</t>
        </is>
      </c>
      <c r="P144" t="inlineStr">
        <is>
          <t xml:space="preserve">width:120 · height:110 · depth:210</t>
        </is>
      </c>
      <c r="R144" t="inlineStr">
        <is>
          <t xml:space="preserve">حفاظ تخت</t>
        </is>
      </c>
      <c r="X144" t="n">
        <v>0</v>
      </c>
    </row>
    <row r="145" ht="48" customHeight="1">
      <c r="A145">
        <f>IMAGE("http://80.240.31.146:3000/_next/image?url=%2Fapi%2Fmedia%2Ffile%2Floof-bed-box-picture-cream.webp&amp;w=256&amp;q=75",4,60,80)</f>
      </c>
      <c r="B145" t="n">
        <v>435</v>
      </c>
      <c r="C145" t="inlineStr">
        <is>
          <t xml:space="preserve">draft</t>
        </is>
      </c>
      <c r="D145" t="inlineStr">
        <is>
          <t xml:space="preserve">لوف</t>
        </is>
      </c>
      <c r="F145" t="inlineStr">
        <is>
          <t xml:space="preserve">باکس تخت لوف</t>
        </is>
      </c>
      <c r="G145" t="inlineStr">
        <is>
          <t xml:space="preserve">loof-bed-box</t>
        </is>
      </c>
      <c r="H145" t="inlineStr">
        <is>
          <t xml:space="preserve">loof-bed-box</t>
        </is>
      </c>
      <c r="I145" t="inlineStr">
        <is>
          <t xml:space="preserve">baby, teen</t>
        </is>
      </c>
      <c r="J145" t="n">
        <v>0</v>
      </c>
      <c r="L145" t="n">
        <v>14</v>
      </c>
      <c r="M145" t="n">
        <v>5</v>
      </c>
      <c r="N145" t="n">
        <v>5</v>
      </c>
      <c r="O145" t="inlineStr">
        <is>
          <t xml:space="preserve">made_to_order</t>
        </is>
      </c>
      <c r="P145" t="inlineStr">
        <is>
          <t xml:space="preserve">width:120 · height:110 · depth:210</t>
        </is>
      </c>
      <c r="R145" t="inlineStr">
        <is>
          <t xml:space="preserve">باکس تخت</t>
        </is>
      </c>
      <c r="X145" t="n">
        <v>4</v>
      </c>
      <c r="Y145" t="inlineStr">
        <is>
          <t xml:space="preserve">loof-bed-box-picture-cream.webp; loof-bed-box-picture-v2-cream.webp; loof-bed-box-cream.webp; loof-bed-box-green.webp</t>
        </is>
      </c>
      <c r="Z145" t="inlineStr">
        <is>
          <t xml:space="preserve">http://80.240.31.146:3000/api/media/file/loof-bed-box-picture-cream.webp; http://80.240.31.146:3000/api/media/file/loof-bed-box-picture-v2-cream.webp; http://80.240.31.146:3000/api/media/file/loof-bed-box-cream.webp; http://80.240.31.146:3000/api/media/file/loof-bed-box-green.webp</t>
        </is>
      </c>
    </row>
    <row r="146" ht="48" customHeight="1">
      <c r="A146">
        <f>IMAGE("http://80.240.31.146:3000/_next/image?url=%2Fapi%2Fmedia%2Ffile%2Fjacqueline-wardrobe-2-doors-mdf-open.webp&amp;w=256&amp;q=75",4,60,80)</f>
      </c>
      <c r="B146" t="n">
        <v>434</v>
      </c>
      <c r="C146" t="inlineStr">
        <is>
          <t xml:space="preserve">published</t>
        </is>
      </c>
      <c r="D146" t="inlineStr">
        <is>
          <t xml:space="preserve">ژاکلین</t>
        </is>
      </c>
      <c r="F146" t="inlineStr">
        <is>
          <t xml:space="preserve">کمد ژاکلین</t>
        </is>
      </c>
      <c r="G146" t="inlineStr">
        <is>
          <t xml:space="preserve">jacqueline-wardrobe</t>
        </is>
      </c>
      <c r="H146" t="inlineStr">
        <is>
          <t xml:space="preserve">jacqueline-wardrobe</t>
        </is>
      </c>
      <c r="I146" t="inlineStr">
        <is>
          <t xml:space="preserve">double, teen</t>
        </is>
      </c>
      <c r="J146" t="n">
        <v>856590000</v>
      </c>
      <c r="L146" t="n">
        <v>14</v>
      </c>
      <c r="M146" t="n">
        <v>5</v>
      </c>
      <c r="N146" t="n">
        <v>5</v>
      </c>
      <c r="O146" t="inlineStr">
        <is>
          <t xml:space="preserve">in_stock</t>
        </is>
      </c>
      <c r="P146" t="inlineStr">
        <is>
          <t xml:space="preserve">width:120 · height:220 · depth:60</t>
        </is>
      </c>
      <c r="R146" t="inlineStr">
        <is>
          <t xml:space="preserve">کمد</t>
        </is>
      </c>
      <c r="X146" t="n">
        <v>11</v>
      </c>
      <c r="Y146" t="inlineStr">
        <is>
          <t xml:space="preserve">jacqueline-wardrobe-2-doors-mdf-open.webp; jacqueline-wardrobe-2-doors-mdf-v2.webp; jacqueline-wardrobe-2-doors-mdf.webp; jacqueline-wardrobe-3-doors-mdf-picture-v2.webp; jacqueline-wardrobe-3-doors-mdf-picture-v3.webp; jacqueline-wardrobe-3-doors-mdf-picture-v4.webp; jacqueline-wardrobe-3-doors-mdf-picture-v5.webp; jacqueline-wardrobe-3-doors-mdf-picture-v6.webp; jacqueline-wardrobe-3-doors-mdf-picture-v7.webp; jacqueline-wardrobe-3-doors-mdf-picture-v8.webp; jacqueline-wardrobe-3-doors-mdf-picture.webp</t>
        </is>
      </c>
      <c r="Z146" t="inlineStr">
        <is>
          <t xml:space="preserve">http://80.240.31.146:3000/api/media/file/jacqueline-wardrobe-2-doors-mdf-open.webp; http://80.240.31.146:3000/api/media/file/jacqueline-wardrobe-2-doors-mdf-v2.webp; http://80.240.31.146:3000/api/media/file/jacqueline-wardrobe-2-doors-mdf.webp; http://80.240.31.146:3000/api/media/file/jacqueline-wardrobe-3-doors-mdf-picture-v2.webp; http://80.240.31.146:3000/api/media/file/jacqueline-wardrobe-3-doors-mdf-picture-v3.webp; http://80.240.31.146:3000/api/media/file/jacqueline-wardrobe-3-doors-mdf-picture-v4.webp; http://80.240.31.146:3000/api/media/file/jacqueline-wardrobe-3-doors-mdf-picture-v5.webp; http://80.240.31.146:3000/api/media/file/jacqueline-wardrobe-3-doors-mdf-picture-v6.webp; http://80.240.31.146:3000/api/media/file/jacqueline-wardrobe-3-doors-mdf-picture-v7.webp; http://80.240.31.146:3000/api/media/file/jacqueline-wardrobe-3-doors-mdf-picture-v8.webp; http://80.240.31.146:3000/api/media/file/jacqueline-wardrobe-3-doors-mdf-picture.webp</t>
        </is>
      </c>
    </row>
    <row r="147" ht="48" customHeight="1">
      <c r="A147">
        <f>IMAGE("http://80.240.31.146:3000/_next/image?url=%2Fapi%2Fmedia%2Ffile%2Fjacqueline-vanity-3-drawers.webp&amp;w=256&amp;q=75",4,60,80)</f>
      </c>
      <c r="B147" t="n">
        <v>433</v>
      </c>
      <c r="C147" t="inlineStr">
        <is>
          <t xml:space="preserve">draft</t>
        </is>
      </c>
      <c r="D147" t="inlineStr">
        <is>
          <t xml:space="preserve">ژاکلین</t>
        </is>
      </c>
      <c r="F147" t="inlineStr">
        <is>
          <t xml:space="preserve">میز آرایش ژاکلین</t>
        </is>
      </c>
      <c r="G147" t="inlineStr">
        <is>
          <t xml:space="preserve">jacqueline-vanity</t>
        </is>
      </c>
      <c r="H147" t="inlineStr">
        <is>
          <t xml:space="preserve">jacqueline-vanity</t>
        </is>
      </c>
      <c r="I147" t="inlineStr">
        <is>
          <t xml:space="preserve">double, teen</t>
        </is>
      </c>
      <c r="J147" t="n">
        <v>0</v>
      </c>
      <c r="L147" t="n">
        <v>14</v>
      </c>
      <c r="M147" t="n">
        <v>5</v>
      </c>
      <c r="N147" t="n">
        <v>5</v>
      </c>
      <c r="O147" t="inlineStr">
        <is>
          <t xml:space="preserve">made_to_order</t>
        </is>
      </c>
      <c r="P147" t="inlineStr">
        <is>
          <t xml:space="preserve">width:100 · height:78 · depth:45</t>
        </is>
      </c>
      <c r="R147" t="inlineStr">
        <is>
          <t xml:space="preserve">میز آرایش</t>
        </is>
      </c>
      <c r="X147" t="n">
        <v>3</v>
      </c>
      <c r="Y147" t="inlineStr">
        <is>
          <t xml:space="preserve">jacqueline-vanity-3-drawers.webp; jacqueline-vanity-3-drawers-picture-v2.webp; jacqueline-vanity-3-drawers-picture.webp</t>
        </is>
      </c>
      <c r="Z147" t="inlineStr">
        <is>
          <t xml:space="preserve">http://80.240.31.146:3000/api/media/file/jacqueline-vanity-3-drawers.webp; http://80.240.31.146:3000/api/media/file/jacqueline-vanity-3-drawers-picture-v2.webp; http://80.240.31.146:3000/api/media/file/jacqueline-vanity-3-drawers-picture.webp</t>
        </is>
      </c>
    </row>
    <row r="148" ht="48" customHeight="1">
      <c r="A148">
        <f>IMAGE("http://80.240.31.146:3000/_next/image?url=%2Fapi%2Fmedia%2Ffile%2Fjacqueline-table-mirror.webp&amp;w=256&amp;q=75",4,60,80)</f>
      </c>
      <c r="B148" t="n">
        <v>432</v>
      </c>
      <c r="C148" t="inlineStr">
        <is>
          <t xml:space="preserve">published</t>
        </is>
      </c>
      <c r="D148" t="inlineStr">
        <is>
          <t xml:space="preserve">ژاکلین</t>
        </is>
      </c>
      <c r="F148" t="inlineStr">
        <is>
          <t xml:space="preserve">آینه رومیزی ژاکلین</t>
        </is>
      </c>
      <c r="G148" t="inlineStr">
        <is>
          <t xml:space="preserve">jacqueline-table-mirror</t>
        </is>
      </c>
      <c r="H148" t="inlineStr">
        <is>
          <t xml:space="preserve">jacqueline-table-mirror</t>
        </is>
      </c>
      <c r="I148" t="inlineStr">
        <is>
          <t xml:space="preserve">double, teen</t>
        </is>
      </c>
      <c r="J148" t="n">
        <v>172850000</v>
      </c>
      <c r="L148" t="n">
        <v>14</v>
      </c>
      <c r="M148" t="n">
        <v>5</v>
      </c>
      <c r="N148" t="n">
        <v>5</v>
      </c>
      <c r="O148" t="inlineStr">
        <is>
          <t xml:space="preserve">in_stock</t>
        </is>
      </c>
      <c r="P148" t="inlineStr">
        <is>
          <t xml:space="preserve">width:60 · height:70 · depth:5</t>
        </is>
      </c>
      <c r="R148" t="inlineStr">
        <is>
          <t xml:space="preserve">آینه رومیزی</t>
        </is>
      </c>
      <c r="X148" t="n">
        <v>1</v>
      </c>
      <c r="Y148" t="inlineStr">
        <is>
          <t xml:space="preserve">jacqueline-table-mirror.webp</t>
        </is>
      </c>
      <c r="Z148" t="inlineStr">
        <is>
          <t xml:space="preserve">http://80.240.31.146:3000/api/media/file/jacqueline-table-mirror.webp</t>
        </is>
      </c>
    </row>
    <row r="149" ht="48" customHeight="1">
      <c r="A149">
        <f>IMAGE("http://80.240.31.146:3000/_next/image?url=%2Fapi%2Fmedia%2Ffile%2Fjacqueline-study-desk-light.webp&amp;w=256&amp;q=75",4,60,80)</f>
      </c>
      <c r="B149" t="n">
        <v>431</v>
      </c>
      <c r="C149" t="inlineStr">
        <is>
          <t xml:space="preserve">published</t>
        </is>
      </c>
      <c r="D149" t="inlineStr">
        <is>
          <t xml:space="preserve">ژاکلین</t>
        </is>
      </c>
      <c r="F149" t="inlineStr">
        <is>
          <t xml:space="preserve">میز تحریر ژاکلین</t>
        </is>
      </c>
      <c r="G149" t="inlineStr">
        <is>
          <t xml:space="preserve">jacqueline-study-desk</t>
        </is>
      </c>
      <c r="H149" t="inlineStr">
        <is>
          <t xml:space="preserve">jacqueline-study-desk</t>
        </is>
      </c>
      <c r="I149" t="inlineStr">
        <is>
          <t xml:space="preserve">double, teen</t>
        </is>
      </c>
      <c r="J149" t="n">
        <v>606560000</v>
      </c>
      <c r="L149" t="n">
        <v>14</v>
      </c>
      <c r="M149" t="n">
        <v>5</v>
      </c>
      <c r="N149" t="n">
        <v>5</v>
      </c>
      <c r="O149" t="inlineStr">
        <is>
          <t xml:space="preserve">in_stock</t>
        </is>
      </c>
      <c r="P149" t="inlineStr">
        <is>
          <t xml:space="preserve">width:120 · height:75 · depth:60</t>
        </is>
      </c>
      <c r="R149" t="inlineStr">
        <is>
          <t xml:space="preserve">میز تحریر</t>
        </is>
      </c>
      <c r="X149" t="n">
        <v>5</v>
      </c>
      <c r="Y149" t="inlineStr">
        <is>
          <t xml:space="preserve">jacqueline-study-desk-light.webp; jacqueline-study-desk.webp; jacqueline-study-desk-picture-v2.webp; jacqueline-study-desk-picture.webp; jacqueline-study-desk-scene-picture.webp</t>
        </is>
      </c>
      <c r="Z149" t="inlineStr">
        <is>
          <t xml:space="preserve">http://80.240.31.146:3000/api/media/file/jacqueline-study-desk-light.webp; http://80.240.31.146:3000/api/media/file/jacqueline-study-desk.webp; http://80.240.31.146:3000/api/media/file/jacqueline-study-desk-picture-v2.webp; http://80.240.31.146:3000/api/media/file/jacqueline-study-desk-picture.webp; http://80.240.31.146:3000/api/media/file/jacqueline-study-desk-scene-picture.webp</t>
        </is>
      </c>
    </row>
    <row r="150" ht="48" customHeight="1">
      <c r="A150">
        <f>IMAGE("http://80.240.31.146:3000/_next/image?url=%2Fapi%2Fmedia%2Ffile%2Fjacqueline-single-bed-100.webp&amp;w=256&amp;q=75",4,60,80)</f>
      </c>
      <c r="B150" t="n">
        <v>430</v>
      </c>
      <c r="C150" t="inlineStr">
        <is>
          <t xml:space="preserve">published</t>
        </is>
      </c>
      <c r="D150" t="inlineStr">
        <is>
          <t xml:space="preserve">ژاکلین</t>
        </is>
      </c>
      <c r="F150" t="inlineStr">
        <is>
          <t xml:space="preserve">تخت یک نفره ژاکلین</t>
        </is>
      </c>
      <c r="G150" t="inlineStr">
        <is>
          <t xml:space="preserve">jacqueline-single-bed</t>
        </is>
      </c>
      <c r="H150" t="inlineStr">
        <is>
          <t xml:space="preserve">jacqueline-single-bed</t>
        </is>
      </c>
      <c r="I150" t="inlineStr">
        <is>
          <t xml:space="preserve">double, teen</t>
        </is>
      </c>
      <c r="J150" t="n">
        <v>443740000</v>
      </c>
      <c r="L150" t="n">
        <v>14</v>
      </c>
      <c r="M150" t="n">
        <v>5</v>
      </c>
      <c r="N150" t="n">
        <v>5</v>
      </c>
      <c r="O150" t="inlineStr">
        <is>
          <t xml:space="preserve">in_stock</t>
        </is>
      </c>
      <c r="P150" t="inlineStr">
        <is>
          <t xml:space="preserve">width:100 · height:110 · depth:210</t>
        </is>
      </c>
      <c r="R150" t="inlineStr">
        <is>
          <t xml:space="preserve">تخت یک نفره</t>
        </is>
      </c>
      <c r="X150" t="n">
        <v>6</v>
      </c>
      <c r="Y150" t="inlineStr">
        <is>
          <t xml:space="preserve">jacqueline-single-bed-100.webp; jacqueline-single-bed-120.webp; jacqueline-single-bed-120-picture-v2.webp; jacqueline-single-bed-120-picture-v3.webp; jacqueline-single-bed-120-picture-v4.webp; jacqueline-single-bed-120-picture.webp</t>
        </is>
      </c>
      <c r="Z150" t="inlineStr">
        <is>
          <t xml:space="preserve">http://80.240.31.146:3000/api/media/file/jacqueline-single-bed-100.webp; http://80.240.31.146:3000/api/media/file/jacqueline-single-bed-120.webp; http://80.240.31.146:3000/api/media/file/jacqueline-single-bed-120-picture-v2.webp; http://80.240.31.146:3000/api/media/file/jacqueline-single-bed-120-picture-v3.webp; http://80.240.31.146:3000/api/media/file/jacqueline-single-bed-120-picture-v4.webp; http://80.240.31.146:3000/api/media/file/jacqueline-single-bed-120-picture.webp</t>
        </is>
      </c>
    </row>
    <row r="151" ht="48" customHeight="1">
      <c r="A151">
        <f>IMAGE("http://80.240.31.146:3000/_next/image?url=%2Fapi%2Fmedia%2Ffile%2Fjacqueline-nightstand.webp&amp;w=256&amp;q=75",4,60,80)</f>
      </c>
      <c r="B151" t="n">
        <v>429</v>
      </c>
      <c r="C151" t="inlineStr">
        <is>
          <t xml:space="preserve">published</t>
        </is>
      </c>
      <c r="D151" t="inlineStr">
        <is>
          <t xml:space="preserve">ژاکلین</t>
        </is>
      </c>
      <c r="F151" t="inlineStr">
        <is>
          <t xml:space="preserve">پاتختی ژاکلین</t>
        </is>
      </c>
      <c r="G151" t="inlineStr">
        <is>
          <t xml:space="preserve">jacqueline-nightstand</t>
        </is>
      </c>
      <c r="H151" t="inlineStr">
        <is>
          <t xml:space="preserve">jacqueline-nightstand</t>
        </is>
      </c>
      <c r="I151" t="inlineStr">
        <is>
          <t xml:space="preserve">double, teen</t>
        </is>
      </c>
      <c r="J151" t="n">
        <v>275950000</v>
      </c>
      <c r="L151" t="n">
        <v>14</v>
      </c>
      <c r="M151" t="n">
        <v>5</v>
      </c>
      <c r="N151" t="n">
        <v>5</v>
      </c>
      <c r="O151" t="inlineStr">
        <is>
          <t xml:space="preserve">in_stock</t>
        </is>
      </c>
      <c r="P151" t="inlineStr">
        <is>
          <t xml:space="preserve">width:50 · height:55 · depth:40</t>
        </is>
      </c>
      <c r="R151" t="inlineStr">
        <is>
          <t xml:space="preserve">پاتختی</t>
        </is>
      </c>
      <c r="X151" t="n">
        <v>4</v>
      </c>
      <c r="Y151" t="inlineStr">
        <is>
          <t xml:space="preserve">jacqueline-nightstand.webp; jacqueline-nightstand-picture-v2.webp; jacqueline-nightstand-picture-v3.webp; jacqueline-nightstand-picture.webp</t>
        </is>
      </c>
      <c r="Z151" t="inlineStr">
        <is>
          <t xml:space="preserve">http://80.240.31.146:3000/api/media/file/jacqueline-nightstand.webp; http://80.240.31.146:3000/api/media/file/jacqueline-nightstand-picture-v2.webp; http://80.240.31.146:3000/api/media/file/jacqueline-nightstand-picture-v3.webp; http://80.240.31.146:3000/api/media/file/jacqueline-nightstand-picture.webp</t>
        </is>
      </c>
    </row>
    <row r="152" ht="48" customHeight="1">
      <c r="A152">
        <f>IMAGE("http://80.240.31.146:3000/_next/image?url=%2Fapi%2Fmedia%2Ffile%2Fjacqueline-file-6-drawers.webp&amp;w=256&amp;q=75",4,60,80)</f>
      </c>
      <c r="B152" t="n">
        <v>428</v>
      </c>
      <c r="C152" t="inlineStr">
        <is>
          <t xml:space="preserve">published</t>
        </is>
      </c>
      <c r="D152" t="inlineStr">
        <is>
          <t xml:space="preserve">ژاکلین</t>
        </is>
      </c>
      <c r="F152" t="inlineStr">
        <is>
          <t xml:space="preserve">فایل ژاکلین</t>
        </is>
      </c>
      <c r="G152" t="inlineStr">
        <is>
          <t xml:space="preserve">jacqueline-file</t>
        </is>
      </c>
      <c r="H152" t="inlineStr">
        <is>
          <t xml:space="preserve">jacqueline-file</t>
        </is>
      </c>
      <c r="I152" t="inlineStr">
        <is>
          <t xml:space="preserve">double, teen</t>
        </is>
      </c>
      <c r="J152" t="n">
        <v>782070000</v>
      </c>
      <c r="L152" t="n">
        <v>14</v>
      </c>
      <c r="M152" t="n">
        <v>5</v>
      </c>
      <c r="N152" t="n">
        <v>5</v>
      </c>
      <c r="O152" t="inlineStr">
        <is>
          <t xml:space="preserve">in_stock</t>
        </is>
      </c>
      <c r="P152" t="inlineStr">
        <is>
          <t xml:space="preserve">width:45 · height:120 · depth:50</t>
        </is>
      </c>
      <c r="R152" t="inlineStr">
        <is>
          <t xml:space="preserve">فایل</t>
        </is>
      </c>
      <c r="X152" t="n">
        <v>1</v>
      </c>
      <c r="Y152" t="inlineStr">
        <is>
          <t xml:space="preserve">jacqueline-file-6-drawers.webp</t>
        </is>
      </c>
      <c r="Z152" t="inlineStr">
        <is>
          <t xml:space="preserve">http://80.240.31.146:3000/api/media/file/jacqueline-file-6-drawers.webp</t>
        </is>
      </c>
    </row>
    <row r="153" ht="48" customHeight="1">
      <c r="A153">
        <f>IMAGE("http://80.240.31.146:3000/_next/image?url=%2Fapi%2Fmedia%2Ffile%2Fjacqueline-double-bed-160.webp&amp;w=256&amp;q=75",4,60,80)</f>
      </c>
      <c r="B153" t="n">
        <v>427</v>
      </c>
      <c r="C153" t="inlineStr">
        <is>
          <t xml:space="preserve">published</t>
        </is>
      </c>
      <c r="D153" t="inlineStr">
        <is>
          <t xml:space="preserve">ژاکلین</t>
        </is>
      </c>
      <c r="F153" t="inlineStr">
        <is>
          <t xml:space="preserve">تخت دونفره ژاکلین</t>
        </is>
      </c>
      <c r="G153" t="inlineStr">
        <is>
          <t xml:space="preserve">jacqueline-double-bed</t>
        </is>
      </c>
      <c r="H153" t="inlineStr">
        <is>
          <t xml:space="preserve">jacqueline-double-bed</t>
        </is>
      </c>
      <c r="I153" t="inlineStr">
        <is>
          <t xml:space="preserve">double, teen</t>
        </is>
      </c>
      <c r="J153" t="n">
        <v>585700000</v>
      </c>
      <c r="L153" t="n">
        <v>14</v>
      </c>
      <c r="M153" t="n">
        <v>5</v>
      </c>
      <c r="N153" t="n">
        <v>5</v>
      </c>
      <c r="O153" t="inlineStr">
        <is>
          <t xml:space="preserve">in_stock</t>
        </is>
      </c>
      <c r="P153" t="inlineStr">
        <is>
          <t xml:space="preserve">width:160 · height:110 · depth:215</t>
        </is>
      </c>
      <c r="R153" t="inlineStr">
        <is>
          <t xml:space="preserve">تخت دونفره</t>
        </is>
      </c>
      <c r="X153" t="n">
        <v>8</v>
      </c>
      <c r="Y153" t="inlineStr">
        <is>
          <t xml:space="preserve">jacqueline-double-bed-160.webp; jacqueline-double-bed-160-picture-v2.webp; jacqueline-double-bed-160-picture-v3.webp; jacqueline-double-bed-160-picture-v4.webp; jacqueline-double-bed-160-picture-v5.webp; jacqueline-double-bed-160-picture-v6.webp; jacqueline-double-bed-160-picture-v7.webp; jacqueline-double-bed-160-picture.webp</t>
        </is>
      </c>
      <c r="Z153" t="inlineStr">
        <is>
          <t xml:space="preserve">http://80.240.31.146:3000/api/media/file/jacqueline-double-bed-160.webp; http://80.240.31.146:3000/api/media/file/jacqueline-double-bed-160-picture-v2.webp; http://80.240.31.146:3000/api/media/file/jacqueline-double-bed-160-picture-v3.webp; http://80.240.31.146:3000/api/media/file/jacqueline-double-bed-160-picture-v4.webp; http://80.240.31.146:3000/api/media/file/jacqueline-double-bed-160-picture-v5.webp; http://80.240.31.146:3000/api/media/file/jacqueline-double-bed-160-picture-v6.webp; http://80.240.31.146:3000/api/media/file/jacqueline-double-bed-160-picture-v7.webp; http://80.240.31.146:3000/api/media/file/jacqueline-double-bed-160-picture.webp</t>
        </is>
      </c>
    </row>
    <row r="154" ht="48" customHeight="1">
      <c r="B154" t="n">
        <v>426</v>
      </c>
      <c r="C154" t="inlineStr">
        <is>
          <t xml:space="preserve">draft</t>
        </is>
      </c>
      <c r="D154" t="inlineStr">
        <is>
          <t xml:space="preserve">ژاکلین</t>
        </is>
      </c>
      <c r="F154" t="inlineStr">
        <is>
          <t xml:space="preserve">تخت نوزاد دومنظوره ژاکلین</t>
        </is>
      </c>
      <c r="G154" t="inlineStr">
        <is>
          <t xml:space="preserve">jacqueline-convertible-bed</t>
        </is>
      </c>
      <c r="H154" t="inlineStr">
        <is>
          <t xml:space="preserve">jacqueline-convertible-bed</t>
        </is>
      </c>
      <c r="I154" t="inlineStr">
        <is>
          <t xml:space="preserve">double, teen</t>
        </is>
      </c>
      <c r="J154" t="n">
        <v>0</v>
      </c>
      <c r="L154" t="n">
        <v>14</v>
      </c>
      <c r="M154" t="n">
        <v>5</v>
      </c>
      <c r="N154" t="n">
        <v>5</v>
      </c>
      <c r="O154" t="inlineStr">
        <is>
          <t xml:space="preserve">made_to_order</t>
        </is>
      </c>
      <c r="P154" t="inlineStr">
        <is>
          <t xml:space="preserve">width:90 · height:105 · depth:195</t>
        </is>
      </c>
      <c r="R154" t="inlineStr">
        <is>
          <t xml:space="preserve">تخت نوزاد دومظوره (نوزاد نوجوان، کاناپه ای)</t>
        </is>
      </c>
      <c r="X154" t="n">
        <v>0</v>
      </c>
    </row>
    <row r="155" ht="48" customHeight="1">
      <c r="A155">
        <f>IMAGE("http://80.240.31.146:3000/_next/image?url=%2Fapi%2Fmedia%2Ffile%2Fjacqueline-bookcase.webp&amp;w=256&amp;q=75",4,60,80)</f>
      </c>
      <c r="B155" t="n">
        <v>425</v>
      </c>
      <c r="C155" t="inlineStr">
        <is>
          <t xml:space="preserve">published</t>
        </is>
      </c>
      <c r="D155" t="inlineStr">
        <is>
          <t xml:space="preserve">ژاکلین</t>
        </is>
      </c>
      <c r="F155" t="inlineStr">
        <is>
          <t xml:space="preserve">کتابخانه ژاکلین</t>
        </is>
      </c>
      <c r="G155" t="inlineStr">
        <is>
          <t xml:space="preserve">jacqueline-bookcase</t>
        </is>
      </c>
      <c r="H155" t="inlineStr">
        <is>
          <t xml:space="preserve">jacqueline-bookcase</t>
        </is>
      </c>
      <c r="I155" t="inlineStr">
        <is>
          <t xml:space="preserve">double, teen</t>
        </is>
      </c>
      <c r="J155" t="n">
        <v>617270000</v>
      </c>
      <c r="L155" t="n">
        <v>14</v>
      </c>
      <c r="M155" t="n">
        <v>5</v>
      </c>
      <c r="N155" t="n">
        <v>5</v>
      </c>
      <c r="O155" t="inlineStr">
        <is>
          <t xml:space="preserve">in_stock</t>
        </is>
      </c>
      <c r="P155" t="inlineStr">
        <is>
          <t xml:space="preserve">width:80 · height:200 · depth:35</t>
        </is>
      </c>
      <c r="R155" t="inlineStr">
        <is>
          <t xml:space="preserve">کتابخانه</t>
        </is>
      </c>
      <c r="X155" t="n">
        <v>4</v>
      </c>
      <c r="Y155" t="inlineStr">
        <is>
          <t xml:space="preserve">jacqueline-bookcase.webp; jacqueline-bookcase-picture-v2.webp; jacqueline-bookcase-picture-v3.webp; jacqueline-bookcase-picture.webp</t>
        </is>
      </c>
      <c r="Z155" t="inlineStr">
        <is>
          <t xml:space="preserve">http://80.240.31.146:3000/api/media/file/jacqueline-bookcase.webp; http://80.240.31.146:3000/api/media/file/jacqueline-bookcase-picture-v2.webp; http://80.240.31.146:3000/api/media/file/jacqueline-bookcase-picture-v3.webp; http://80.240.31.146:3000/api/media/file/jacqueline-bookcase-picture.webp</t>
        </is>
      </c>
    </row>
    <row r="156" ht="48" customHeight="1">
      <c r="A156">
        <f>IMAGE("http://80.240.31.146:3000/_next/image?url=%2Fapi%2Fmedia%2Ffile%2Firon-wardrobe-1-doors-glass.webp&amp;w=256&amp;q=75",4,60,80)</f>
      </c>
      <c r="B156" t="n">
        <v>424</v>
      </c>
      <c r="C156" t="inlineStr">
        <is>
          <t xml:space="preserve">published</t>
        </is>
      </c>
      <c r="D156" t="inlineStr">
        <is>
          <t xml:space="preserve">آیرون</t>
        </is>
      </c>
      <c r="F156" t="inlineStr">
        <is>
          <t xml:space="preserve">کمد آیرون</t>
        </is>
      </c>
      <c r="G156" t="inlineStr">
        <is>
          <t xml:space="preserve">iron-wardrobe</t>
        </is>
      </c>
      <c r="H156" t="inlineStr">
        <is>
          <t xml:space="preserve">iron-wardrobe</t>
        </is>
      </c>
      <c r="I156" t="inlineStr">
        <is>
          <t xml:space="preserve">double, teen</t>
        </is>
      </c>
      <c r="J156" t="n">
        <v>567290000</v>
      </c>
      <c r="L156" t="n">
        <v>14</v>
      </c>
      <c r="M156" t="n">
        <v>5</v>
      </c>
      <c r="N156" t="n">
        <v>5</v>
      </c>
      <c r="O156" t="inlineStr">
        <is>
          <t xml:space="preserve">in_stock</t>
        </is>
      </c>
      <c r="P156" t="inlineStr">
        <is>
          <t xml:space="preserve">width:120 · height:220 · depth:60</t>
        </is>
      </c>
      <c r="R156" t="inlineStr">
        <is>
          <t xml:space="preserve">کمد</t>
        </is>
      </c>
      <c r="X156" t="n">
        <v>6</v>
      </c>
      <c r="Y156" t="inlineStr">
        <is>
          <t xml:space="preserve">iron-wardrobe-1-doors-glass.webp; iron-wardrobe-1-doors-mdf.webp; iron-wardrobe-2-doors-glass.webp; iron-wardrobe-2-doors-mdf.webp; iron-wardrobe-1-doors-mdf-picture-v2.webp; iron-wardrobe-1-doors-mdf-picture.webp</t>
        </is>
      </c>
      <c r="Z156" t="inlineStr">
        <is>
          <t xml:space="preserve">http://80.240.31.146:3000/api/media/file/iron-wardrobe-1-doors-glass.webp; http://80.240.31.146:3000/api/media/file/iron-wardrobe-1-doors-mdf.webp; http://80.240.31.146:3000/api/media/file/iron-wardrobe-2-doors-glass.webp; http://80.240.31.146:3000/api/media/file/iron-wardrobe-2-doors-mdf.webp; http://80.240.31.146:3000/api/media/file/iron-wardrobe-1-doors-mdf-picture-v2.webp; http://80.240.31.146:3000/api/media/file/iron-wardrobe-1-doors-mdf-picture.webp</t>
        </is>
      </c>
    </row>
    <row r="157" ht="48" customHeight="1">
      <c r="A157">
        <f>IMAGE("http://80.240.31.146:3000/_next/image?url=%2Fapi%2Fmedia%2Ffile%2Firon-wall-mirror.webp&amp;w=256&amp;q=75",4,60,80)</f>
      </c>
      <c r="B157" t="n">
        <v>423</v>
      </c>
      <c r="C157" t="inlineStr">
        <is>
          <t xml:space="preserve">published</t>
        </is>
      </c>
      <c r="D157" t="inlineStr">
        <is>
          <t xml:space="preserve">آیرون</t>
        </is>
      </c>
      <c r="F157" t="inlineStr">
        <is>
          <t xml:space="preserve">آینه دیواری آیرون</t>
        </is>
      </c>
      <c r="G157" t="inlineStr">
        <is>
          <t xml:space="preserve">iron-wall-mirror</t>
        </is>
      </c>
      <c r="H157" t="inlineStr">
        <is>
          <t xml:space="preserve">iron-wall-mirror</t>
        </is>
      </c>
      <c r="I157" t="inlineStr">
        <is>
          <t xml:space="preserve">double, teen</t>
        </is>
      </c>
      <c r="J157" t="n">
        <v>109320000</v>
      </c>
      <c r="L157" t="n">
        <v>14</v>
      </c>
      <c r="M157" t="n">
        <v>5</v>
      </c>
      <c r="N157" t="n">
        <v>5</v>
      </c>
      <c r="O157" t="inlineStr">
        <is>
          <t xml:space="preserve">in_stock</t>
        </is>
      </c>
      <c r="P157" t="inlineStr">
        <is>
          <t xml:space="preserve">width:80 · height:100 · depth:5</t>
        </is>
      </c>
      <c r="R157" t="inlineStr">
        <is>
          <t xml:space="preserve">آینه دیواری</t>
        </is>
      </c>
      <c r="X157" t="n">
        <v>1</v>
      </c>
      <c r="Y157" t="inlineStr">
        <is>
          <t xml:space="preserve">iron-wall-mirror.webp</t>
        </is>
      </c>
      <c r="Z157" t="inlineStr">
        <is>
          <t xml:space="preserve">http://80.240.31.146:3000/api/media/file/iron-wall-mirror.webp</t>
        </is>
      </c>
    </row>
    <row r="158" ht="48" customHeight="1">
      <c r="B158" t="n">
        <v>422</v>
      </c>
      <c r="C158" t="inlineStr">
        <is>
          <t xml:space="preserve">draft</t>
        </is>
      </c>
      <c r="D158" t="inlineStr">
        <is>
          <t xml:space="preserve">آیرون</t>
        </is>
      </c>
      <c r="F158" t="inlineStr">
        <is>
          <t xml:space="preserve">صندلی میز آرایش آیرون</t>
        </is>
      </c>
      <c r="G158" t="inlineStr">
        <is>
          <t xml:space="preserve">iron-vanity-chair</t>
        </is>
      </c>
      <c r="H158" t="inlineStr">
        <is>
          <t xml:space="preserve">iron-vanity-chair</t>
        </is>
      </c>
      <c r="I158" t="inlineStr">
        <is>
          <t xml:space="preserve">double, teen</t>
        </is>
      </c>
      <c r="J158" t="n">
        <v>0</v>
      </c>
      <c r="L158" t="n">
        <v>14</v>
      </c>
      <c r="M158" t="n">
        <v>5</v>
      </c>
      <c r="N158" t="n">
        <v>5</v>
      </c>
      <c r="O158" t="inlineStr">
        <is>
          <t xml:space="preserve">made_to_order</t>
        </is>
      </c>
      <c r="P158" t="inlineStr">
        <is>
          <t xml:space="preserve">width:100 · height:78 · depth:45</t>
        </is>
      </c>
      <c r="R158" t="inlineStr">
        <is>
          <t xml:space="preserve">صندلی میز آرایش</t>
        </is>
      </c>
      <c r="X158" t="n">
        <v>0</v>
      </c>
    </row>
    <row r="159" ht="48" customHeight="1">
      <c r="A159">
        <f>IMAGE("http://80.240.31.146:3000/_next/image?url=%2Fapi%2Fmedia%2Ffile%2Firon-vanity-3-drawers.webp&amp;w=256&amp;q=75",4,60,80)</f>
      </c>
      <c r="B159" t="n">
        <v>421</v>
      </c>
      <c r="C159" t="inlineStr">
        <is>
          <t xml:space="preserve">draft</t>
        </is>
      </c>
      <c r="D159" t="inlineStr">
        <is>
          <t xml:space="preserve">آیرون</t>
        </is>
      </c>
      <c r="F159" t="inlineStr">
        <is>
          <t xml:space="preserve">میز آرایش آیرون</t>
        </is>
      </c>
      <c r="G159" t="inlineStr">
        <is>
          <t xml:space="preserve">iron-vanity</t>
        </is>
      </c>
      <c r="H159" t="inlineStr">
        <is>
          <t xml:space="preserve">iron-vanity</t>
        </is>
      </c>
      <c r="I159" t="inlineStr">
        <is>
          <t xml:space="preserve">double, teen</t>
        </is>
      </c>
      <c r="J159" t="n">
        <v>0</v>
      </c>
      <c r="L159" t="n">
        <v>14</v>
      </c>
      <c r="M159" t="n">
        <v>5</v>
      </c>
      <c r="N159" t="n">
        <v>5</v>
      </c>
      <c r="O159" t="inlineStr">
        <is>
          <t xml:space="preserve">made_to_order</t>
        </is>
      </c>
      <c r="P159" t="inlineStr">
        <is>
          <t xml:space="preserve">width:100 · height:78 · depth:45</t>
        </is>
      </c>
      <c r="R159" t="inlineStr">
        <is>
          <t xml:space="preserve">میز آرایش</t>
        </is>
      </c>
      <c r="X159" t="n">
        <v>3</v>
      </c>
      <c r="Y159" t="inlineStr">
        <is>
          <t xml:space="preserve">iron-vanity-3-drawers.webp; iron-vanity-3-drawers-picture-v2.webp; iron-vanity-3-drawers-picture.webp</t>
        </is>
      </c>
      <c r="Z159" t="inlineStr">
        <is>
          <t xml:space="preserve">http://80.240.31.146:3000/api/media/file/iron-vanity-3-drawers.webp; http://80.240.31.146:3000/api/media/file/iron-vanity-3-drawers-picture-v2.webp; http://80.240.31.146:3000/api/media/file/iron-vanity-3-drawers-picture.webp</t>
        </is>
      </c>
    </row>
    <row r="160" ht="48" customHeight="1">
      <c r="A160">
        <f>IMAGE("http://80.240.31.146:3000/_next/image?url=%2Fapi%2Fmedia%2Ffile%2Firon-study-desk-v2.webp&amp;w=256&amp;q=75",4,60,80)</f>
      </c>
      <c r="B160" t="n">
        <v>420</v>
      </c>
      <c r="C160" t="inlineStr">
        <is>
          <t xml:space="preserve">published</t>
        </is>
      </c>
      <c r="D160" t="inlineStr">
        <is>
          <t xml:space="preserve">آیرون</t>
        </is>
      </c>
      <c r="F160" t="inlineStr">
        <is>
          <t xml:space="preserve">میز تحریر آیرون</t>
        </is>
      </c>
      <c r="G160" t="inlineStr">
        <is>
          <t xml:space="preserve">iron-study-desk</t>
        </is>
      </c>
      <c r="H160" t="inlineStr">
        <is>
          <t xml:space="preserve">iron-study-desk</t>
        </is>
      </c>
      <c r="I160" t="inlineStr">
        <is>
          <t xml:space="preserve">double, teen</t>
        </is>
      </c>
      <c r="J160" t="n">
        <v>553410000</v>
      </c>
      <c r="L160" t="n">
        <v>14</v>
      </c>
      <c r="M160" t="n">
        <v>5</v>
      </c>
      <c r="N160" t="n">
        <v>5</v>
      </c>
      <c r="O160" t="inlineStr">
        <is>
          <t xml:space="preserve">in_stock</t>
        </is>
      </c>
      <c r="P160" t="inlineStr">
        <is>
          <t xml:space="preserve">width:120 · height:75 · depth:60</t>
        </is>
      </c>
      <c r="R160" t="inlineStr">
        <is>
          <t xml:space="preserve">میز تحریر</t>
        </is>
      </c>
      <c r="X160" t="n">
        <v>5</v>
      </c>
      <c r="Y160" t="inlineStr">
        <is>
          <t xml:space="preserve">iron-study-desk-v2.webp; iron-study-desk.webp; iron-study-desk-picture-v2.webp; iron-study-desk-picture.webp; iron-study-desk-scene-picture.webp</t>
        </is>
      </c>
      <c r="Z160" t="inlineStr">
        <is>
          <t xml:space="preserve">http://80.240.31.146:3000/api/media/file/iron-study-desk-v2.webp; http://80.240.31.146:3000/api/media/file/iron-study-desk.webp; http://80.240.31.146:3000/api/media/file/iron-study-desk-picture-v2.webp; http://80.240.31.146:3000/api/media/file/iron-study-desk-picture.webp; http://80.240.31.146:3000/api/media/file/iron-study-desk-scene-picture.webp</t>
        </is>
      </c>
    </row>
    <row r="161" ht="48" customHeight="1">
      <c r="B161" t="n">
        <v>419</v>
      </c>
      <c r="C161" t="inlineStr">
        <is>
          <t xml:space="preserve">draft</t>
        </is>
      </c>
      <c r="D161" t="inlineStr">
        <is>
          <t xml:space="preserve">آیرون</t>
        </is>
      </c>
      <c r="F161" t="inlineStr">
        <is>
          <t xml:space="preserve">صندلی میز تحریر آیرون</t>
        </is>
      </c>
      <c r="G161" t="inlineStr">
        <is>
          <t xml:space="preserve">iron-study-chair</t>
        </is>
      </c>
      <c r="H161" t="inlineStr">
        <is>
          <t xml:space="preserve">iron-study-chair</t>
        </is>
      </c>
      <c r="I161" t="inlineStr">
        <is>
          <t xml:space="preserve">double, teen</t>
        </is>
      </c>
      <c r="J161" t="n">
        <v>0</v>
      </c>
      <c r="L161" t="n">
        <v>14</v>
      </c>
      <c r="M161" t="n">
        <v>5</v>
      </c>
      <c r="N161" t="n">
        <v>5</v>
      </c>
      <c r="O161" t="inlineStr">
        <is>
          <t xml:space="preserve">made_to_order</t>
        </is>
      </c>
      <c r="P161" t="inlineStr">
        <is>
          <t xml:space="preserve">width:50 · height:85 · depth:50</t>
        </is>
      </c>
      <c r="R161" t="inlineStr">
        <is>
          <t xml:space="preserve">صندلی میز تحریر</t>
        </is>
      </c>
      <c r="X161" t="n">
        <v>0</v>
      </c>
    </row>
    <row r="162" ht="48" customHeight="1">
      <c r="A162">
        <f>IMAGE("http://80.240.31.146:3000/_next/image?url=%2Fapi%2Fmedia%2Ffile%2Firon-standing-mirror-regal.webp&amp;w=256&amp;q=75",4,60,80)</f>
      </c>
      <c r="B162" t="n">
        <v>418</v>
      </c>
      <c r="C162" t="inlineStr">
        <is>
          <t xml:space="preserve">published</t>
        </is>
      </c>
      <c r="D162" t="inlineStr">
        <is>
          <t xml:space="preserve">آیرون</t>
        </is>
      </c>
      <c r="F162" t="inlineStr">
        <is>
          <t xml:space="preserve">آینه قدی آیرون</t>
        </is>
      </c>
      <c r="G162" t="inlineStr">
        <is>
          <t xml:space="preserve">iron-standing-mirror</t>
        </is>
      </c>
      <c r="H162" t="inlineStr">
        <is>
          <t xml:space="preserve">iron-standing-mirror</t>
        </is>
      </c>
      <c r="I162" t="inlineStr">
        <is>
          <t xml:space="preserve">double, teen</t>
        </is>
      </c>
      <c r="J162" t="n">
        <v>305820000</v>
      </c>
      <c r="L162" t="n">
        <v>14</v>
      </c>
      <c r="M162" t="n">
        <v>5</v>
      </c>
      <c r="N162" t="n">
        <v>5</v>
      </c>
      <c r="O162" t="inlineStr">
        <is>
          <t xml:space="preserve">in_stock</t>
        </is>
      </c>
      <c r="P162" t="inlineStr">
        <is>
          <t xml:space="preserve">width:60 · height:180 · depth:5</t>
        </is>
      </c>
      <c r="R162" t="inlineStr">
        <is>
          <t xml:space="preserve">آینه قدی</t>
        </is>
      </c>
      <c r="X162" t="n">
        <v>3</v>
      </c>
      <c r="Y162" t="inlineStr">
        <is>
          <t xml:space="preserve">iron-standing-mirror-regal.webp; iron-standing-mirror.webp; iron-standing-mirror-regal-picture.webp</t>
        </is>
      </c>
      <c r="Z162" t="inlineStr">
        <is>
          <t xml:space="preserve">http://80.240.31.146:3000/api/media/file/iron-standing-mirror-regal.webp; http://80.240.31.146:3000/api/media/file/iron-standing-mirror.webp; http://80.240.31.146:3000/api/media/file/iron-standing-mirror-regal-picture.webp</t>
        </is>
      </c>
    </row>
    <row r="163" ht="48" customHeight="1">
      <c r="A163">
        <f>IMAGE("http://80.240.31.146:3000/_next/image?url=%2Fapi%2Fmedia%2Ffile%2Firon-single-bed-100.webp&amp;w=256&amp;q=75",4,60,80)</f>
      </c>
      <c r="B163" t="n">
        <v>417</v>
      </c>
      <c r="C163" t="inlineStr">
        <is>
          <t xml:space="preserve">published</t>
        </is>
      </c>
      <c r="D163" t="inlineStr">
        <is>
          <t xml:space="preserve">آیرون</t>
        </is>
      </c>
      <c r="F163" t="inlineStr">
        <is>
          <t xml:space="preserve">تخت یک نفره آیرون</t>
        </is>
      </c>
      <c r="G163" t="inlineStr">
        <is>
          <t xml:space="preserve">iron-single-bed</t>
        </is>
      </c>
      <c r="H163" t="inlineStr">
        <is>
          <t xml:space="preserve">iron-single-bed</t>
        </is>
      </c>
      <c r="I163" t="inlineStr">
        <is>
          <t xml:space="preserve">double, teen</t>
        </is>
      </c>
      <c r="J163" t="n">
        <v>600980000</v>
      </c>
      <c r="L163" t="n">
        <v>14</v>
      </c>
      <c r="M163" t="n">
        <v>5</v>
      </c>
      <c r="N163" t="n">
        <v>5</v>
      </c>
      <c r="O163" t="inlineStr">
        <is>
          <t xml:space="preserve">in_stock</t>
        </is>
      </c>
      <c r="P163" t="inlineStr">
        <is>
          <t xml:space="preserve">width:100 · height:110 · depth:210</t>
        </is>
      </c>
      <c r="R163" t="inlineStr">
        <is>
          <t xml:space="preserve">تخت یک نفره</t>
        </is>
      </c>
      <c r="X163" t="n">
        <v>5</v>
      </c>
      <c r="Y163" t="inlineStr">
        <is>
          <t xml:space="preserve">iron-single-bed-100.webp; iron-single-bed-120.webp; iron-single-bed-120-picture-v2.webp; iron-single-bed-120-picture-v3.webp; iron-single-bed-120-picture.webp</t>
        </is>
      </c>
      <c r="Z163" t="inlineStr">
        <is>
          <t xml:space="preserve">http://80.240.31.146:3000/api/media/file/iron-single-bed-100.webp; http://80.240.31.146:3000/api/media/file/iron-single-bed-120.webp; http://80.240.31.146:3000/api/media/file/iron-single-bed-120-picture-v2.webp; http://80.240.31.146:3000/api/media/file/iron-single-bed-120-picture-v3.webp; http://80.240.31.146:3000/api/media/file/iron-single-bed-120-picture.webp</t>
        </is>
      </c>
    </row>
    <row r="164" ht="48" customHeight="1">
      <c r="A164">
        <f>IMAGE("http://80.240.31.146:3000/_next/image?url=%2Fapi%2Fmedia%2Ffile%2Firon-nightstand.webp&amp;w=256&amp;q=75",4,60,80)</f>
      </c>
      <c r="B164" t="n">
        <v>416</v>
      </c>
      <c r="C164" t="inlineStr">
        <is>
          <t xml:space="preserve">published</t>
        </is>
      </c>
      <c r="D164" t="inlineStr">
        <is>
          <t xml:space="preserve">آیرون</t>
        </is>
      </c>
      <c r="F164" t="inlineStr">
        <is>
          <t xml:space="preserve">پاتختی آیرون</t>
        </is>
      </c>
      <c r="G164" t="inlineStr">
        <is>
          <t xml:space="preserve">iron-nightstand</t>
        </is>
      </c>
      <c r="H164" t="inlineStr">
        <is>
          <t xml:space="preserve">iron-nightstand</t>
        </is>
      </c>
      <c r="I164" t="inlineStr">
        <is>
          <t xml:space="preserve">double, teen</t>
        </is>
      </c>
      <c r="J164" t="n">
        <v>183720000</v>
      </c>
      <c r="L164" t="n">
        <v>14</v>
      </c>
      <c r="M164" t="n">
        <v>5</v>
      </c>
      <c r="N164" t="n">
        <v>5</v>
      </c>
      <c r="O164" t="inlineStr">
        <is>
          <t xml:space="preserve">in_stock</t>
        </is>
      </c>
      <c r="P164" t="inlineStr">
        <is>
          <t xml:space="preserve">width:50 · height:55 · depth:40</t>
        </is>
      </c>
      <c r="R164" t="inlineStr">
        <is>
          <t xml:space="preserve">پاتختی</t>
        </is>
      </c>
      <c r="X164" t="n">
        <v>5</v>
      </c>
      <c r="Y164" t="inlineStr">
        <is>
          <t xml:space="preserve">iron-nightstand.webp; iron-nightstand-picture-v2.webp; iron-nightstand-picture-v3.webp; iron-nightstand-picture-v4.webp; iron-nightstand-picture.webp</t>
        </is>
      </c>
      <c r="Z164" t="inlineStr">
        <is>
          <t xml:space="preserve">http://80.240.31.146:3000/api/media/file/iron-nightstand.webp; http://80.240.31.146:3000/api/media/file/iron-nightstand-picture-v2.webp; http://80.240.31.146:3000/api/media/file/iron-nightstand-picture-v3.webp; http://80.240.31.146:3000/api/media/file/iron-nightstand-picture-v4.webp; http://80.240.31.146:3000/api/media/file/iron-nightstand-picture.webp</t>
        </is>
      </c>
    </row>
    <row r="165" ht="48" customHeight="1">
      <c r="A165">
        <f>IMAGE("http://80.240.31.146:3000/_next/image?url=%2Fapi%2Fmedia%2Ffile%2Firon-file-5-drawers.webp&amp;w=256&amp;q=75",4,60,80)</f>
      </c>
      <c r="B165" t="n">
        <v>415</v>
      </c>
      <c r="C165" t="inlineStr">
        <is>
          <t xml:space="preserve">published</t>
        </is>
      </c>
      <c r="D165" t="inlineStr">
        <is>
          <t xml:space="preserve">آیرون</t>
        </is>
      </c>
      <c r="F165" t="inlineStr">
        <is>
          <t xml:space="preserve">فایل آیرون</t>
        </is>
      </c>
      <c r="G165" t="inlineStr">
        <is>
          <t xml:space="preserve">iron-file</t>
        </is>
      </c>
      <c r="H165" t="inlineStr">
        <is>
          <t xml:space="preserve">iron-file</t>
        </is>
      </c>
      <c r="I165" t="inlineStr">
        <is>
          <t xml:space="preserve">double, teen</t>
        </is>
      </c>
      <c r="J165" t="n">
        <v>573990000</v>
      </c>
      <c r="L165" t="n">
        <v>14</v>
      </c>
      <c r="M165" t="n">
        <v>5</v>
      </c>
      <c r="N165" t="n">
        <v>5</v>
      </c>
      <c r="O165" t="inlineStr">
        <is>
          <t xml:space="preserve">in_stock</t>
        </is>
      </c>
      <c r="P165" t="inlineStr">
        <is>
          <t xml:space="preserve">width:45 · height:120 · depth:50</t>
        </is>
      </c>
      <c r="R165" t="inlineStr">
        <is>
          <t xml:space="preserve">فایل</t>
        </is>
      </c>
      <c r="X165" t="n">
        <v>3</v>
      </c>
      <c r="Y165" t="inlineStr">
        <is>
          <t xml:space="preserve">iron-file-5-drawers.webp; iron-file-5-drawers-picture-v2.webp; iron-file-5-drawers-picture.webp</t>
        </is>
      </c>
      <c r="Z165" t="inlineStr">
        <is>
          <t xml:space="preserve">http://80.240.31.146:3000/api/media/file/iron-file-5-drawers.webp; http://80.240.31.146:3000/api/media/file/iron-file-5-drawers-picture-v2.webp; http://80.240.31.146:3000/api/media/file/iron-file-5-drawers-picture.webp</t>
        </is>
      </c>
    </row>
    <row r="166" ht="48" customHeight="1">
      <c r="A166">
        <f>IMAGE("http://80.240.31.146:3000/_next/image?url=%2Fapi%2Fmedia%2Ffile%2Firon-double-bed-160.webp&amp;w=256&amp;q=75",4,60,80)</f>
      </c>
      <c r="B166" t="n">
        <v>414</v>
      </c>
      <c r="C166" t="inlineStr">
        <is>
          <t xml:space="preserve">published</t>
        </is>
      </c>
      <c r="D166" t="inlineStr">
        <is>
          <t xml:space="preserve">آیرون</t>
        </is>
      </c>
      <c r="F166" t="inlineStr">
        <is>
          <t xml:space="preserve">تخت دونفره آیرون</t>
        </is>
      </c>
      <c r="G166" t="inlineStr">
        <is>
          <t xml:space="preserve">iron-double-bed</t>
        </is>
      </c>
      <c r="H166" t="inlineStr">
        <is>
          <t xml:space="preserve">iron-double-bed</t>
        </is>
      </c>
      <c r="I166" t="inlineStr">
        <is>
          <t xml:space="preserve">double, teen</t>
        </is>
      </c>
      <c r="J166" t="n">
        <v>708290000</v>
      </c>
      <c r="L166" t="n">
        <v>14</v>
      </c>
      <c r="M166" t="n">
        <v>5</v>
      </c>
      <c r="N166" t="n">
        <v>5</v>
      </c>
      <c r="O166" t="inlineStr">
        <is>
          <t xml:space="preserve">in_stock</t>
        </is>
      </c>
      <c r="P166" t="inlineStr">
        <is>
          <t xml:space="preserve">width:160 · height:110 · depth:215</t>
        </is>
      </c>
      <c r="R166" t="inlineStr">
        <is>
          <t xml:space="preserve">تخت دونفره</t>
        </is>
      </c>
      <c r="X166" t="n">
        <v>1</v>
      </c>
      <c r="Y166" t="inlineStr">
        <is>
          <t xml:space="preserve">iron-double-bed-160.webp</t>
        </is>
      </c>
      <c r="Z166" t="inlineStr">
        <is>
          <t xml:space="preserve">http://80.240.31.146:3000/api/media/file/iron-double-bed-160.webp</t>
        </is>
      </c>
    </row>
    <row r="167" ht="48" customHeight="1">
      <c r="A167">
        <f>IMAGE("http://80.240.31.146:3000/_next/image?url=%2Fapi%2Fmedia%2Ffile%2Firon-bookcase-accessory.webp&amp;w=256&amp;q=75",4,60,80)</f>
      </c>
      <c r="B167" t="n">
        <v>413</v>
      </c>
      <c r="C167" t="inlineStr">
        <is>
          <t xml:space="preserve">published</t>
        </is>
      </c>
      <c r="D167" t="inlineStr">
        <is>
          <t xml:space="preserve">آیرون</t>
        </is>
      </c>
      <c r="F167" t="inlineStr">
        <is>
          <t xml:space="preserve">کتابخانه آیرون</t>
        </is>
      </c>
      <c r="G167" t="inlineStr">
        <is>
          <t xml:space="preserve">iron-bookcase</t>
        </is>
      </c>
      <c r="H167" t="inlineStr">
        <is>
          <t xml:space="preserve">iron-bookcase</t>
        </is>
      </c>
      <c r="I167" t="inlineStr">
        <is>
          <t xml:space="preserve">double, teen</t>
        </is>
      </c>
      <c r="J167" t="n">
        <v>223320000</v>
      </c>
      <c r="L167" t="n">
        <v>14</v>
      </c>
      <c r="M167" t="n">
        <v>5</v>
      </c>
      <c r="N167" t="n">
        <v>5</v>
      </c>
      <c r="O167" t="inlineStr">
        <is>
          <t xml:space="preserve">in_stock</t>
        </is>
      </c>
      <c r="P167" t="inlineStr">
        <is>
          <t xml:space="preserve">width:80 · height:200 · depth:35</t>
        </is>
      </c>
      <c r="R167" t="inlineStr">
        <is>
          <t xml:space="preserve">کتابخانه</t>
        </is>
      </c>
      <c r="X167" t="n">
        <v>5</v>
      </c>
      <c r="Y167" t="inlineStr">
        <is>
          <t xml:space="preserve">iron-bookcase-accessory.webp; iron-bookcase.webp; iron-bookcase-picture-v2.webp; iron-bookcase-picture-v3.webp; iron-bookcase-picture.webp</t>
        </is>
      </c>
      <c r="Z167" t="inlineStr">
        <is>
          <t xml:space="preserve">http://80.240.31.146:3000/api/media/file/iron-bookcase-accessory.webp; http://80.240.31.146:3000/api/media/file/iron-bookcase.webp; http://80.240.31.146:3000/api/media/file/iron-bookcase-picture-v2.webp; http://80.240.31.146:3000/api/media/file/iron-bookcase-picture-v3.webp; http://80.240.31.146:3000/api/media/file/iron-bookcase-picture.webp</t>
        </is>
      </c>
    </row>
    <row r="168" ht="48" customHeight="1">
      <c r="A168">
        <f>IMAGE("http://80.240.31.146:3000/_next/image?url=%2Fapi%2Fmedia%2Ffile%2Fgandom-wardrobe-2-doors-mdf.webp&amp;w=256&amp;q=75",4,60,80)</f>
      </c>
      <c r="B168" t="n">
        <v>412</v>
      </c>
      <c r="C168" t="inlineStr">
        <is>
          <t xml:space="preserve">published</t>
        </is>
      </c>
      <c r="D168" t="inlineStr">
        <is>
          <t xml:space="preserve">گندم</t>
        </is>
      </c>
      <c r="F168" t="inlineStr">
        <is>
          <t xml:space="preserve">کمد گندم</t>
        </is>
      </c>
      <c r="G168" t="inlineStr">
        <is>
          <t xml:space="preserve">gandom-wardrobe</t>
        </is>
      </c>
      <c r="H168" t="inlineStr">
        <is>
          <t xml:space="preserve">gandom-wardrobe</t>
        </is>
      </c>
      <c r="I168" t="inlineStr">
        <is>
          <t xml:space="preserve">baby</t>
        </is>
      </c>
      <c r="J168" t="n">
        <v>1288280000</v>
      </c>
      <c r="L168" t="n">
        <v>14</v>
      </c>
      <c r="M168" t="n">
        <v>5</v>
      </c>
      <c r="N168" t="n">
        <v>5</v>
      </c>
      <c r="O168" t="inlineStr">
        <is>
          <t xml:space="preserve">in_stock</t>
        </is>
      </c>
      <c r="P168" t="inlineStr">
        <is>
          <t xml:space="preserve">width:120 · height:220 · depth:60</t>
        </is>
      </c>
      <c r="R168" t="inlineStr">
        <is>
          <t xml:space="preserve">کمد</t>
        </is>
      </c>
      <c r="X168" t="n">
        <v>1</v>
      </c>
      <c r="Y168" t="inlineStr">
        <is>
          <t xml:space="preserve">gandom-wardrobe-2-doors-mdf.webp</t>
        </is>
      </c>
      <c r="Z168" t="inlineStr">
        <is>
          <t xml:space="preserve">http://80.240.31.146:3000/api/media/file/gandom-wardrobe-2-doors-mdf.webp</t>
        </is>
      </c>
    </row>
    <row r="169" ht="48" customHeight="1">
      <c r="A169">
        <f>IMAGE("http://80.240.31.146:3000/_next/image?url=%2Fapi%2Fmedia%2Ffile%2Fgandom-wall-shelf.webp&amp;w=256&amp;q=75",4,60,80)</f>
      </c>
      <c r="B169" t="n">
        <v>411</v>
      </c>
      <c r="C169" t="inlineStr">
        <is>
          <t xml:space="preserve">published</t>
        </is>
      </c>
      <c r="D169" t="inlineStr">
        <is>
          <t xml:space="preserve">گندم</t>
        </is>
      </c>
      <c r="F169" t="inlineStr">
        <is>
          <t xml:space="preserve">شلف دیواری گندم</t>
        </is>
      </c>
      <c r="G169" t="inlineStr">
        <is>
          <t xml:space="preserve">gandom-wall-shelf</t>
        </is>
      </c>
      <c r="H169" t="inlineStr">
        <is>
          <t xml:space="preserve">gandom-wall-shelf</t>
        </is>
      </c>
      <c r="I169" t="inlineStr">
        <is>
          <t xml:space="preserve">baby</t>
        </is>
      </c>
      <c r="J169" t="n">
        <v>174650000</v>
      </c>
      <c r="L169" t="n">
        <v>14</v>
      </c>
      <c r="M169" t="n">
        <v>5</v>
      </c>
      <c r="N169" t="n">
        <v>5</v>
      </c>
      <c r="O169" t="inlineStr">
        <is>
          <t xml:space="preserve">in_stock</t>
        </is>
      </c>
      <c r="P169" t="inlineStr">
        <is>
          <t xml:space="preserve">width:80 · height:25 · depth:25</t>
        </is>
      </c>
      <c r="R169" t="inlineStr">
        <is>
          <t xml:space="preserve">شلف دیواری (براکت)</t>
        </is>
      </c>
      <c r="X169" t="n">
        <v>1</v>
      </c>
      <c r="Y169" t="inlineStr">
        <is>
          <t xml:space="preserve">gandom-wall-shelf.webp</t>
        </is>
      </c>
      <c r="Z169" t="inlineStr">
        <is>
          <t xml:space="preserve">http://80.240.31.146:3000/api/media/file/gandom-wall-shelf.webp</t>
        </is>
      </c>
    </row>
    <row r="170" ht="48" customHeight="1">
      <c r="A170">
        <f>IMAGE("http://80.240.31.146:3000/_next/image?url=%2Fapi%2Fmedia%2Ffile%2Fgandom-file-3-drawers.webp&amp;w=256&amp;q=75",4,60,80)</f>
      </c>
      <c r="B170" t="n">
        <v>410</v>
      </c>
      <c r="C170" t="inlineStr">
        <is>
          <t xml:space="preserve">published</t>
        </is>
      </c>
      <c r="D170" t="inlineStr">
        <is>
          <t xml:space="preserve">گندم</t>
        </is>
      </c>
      <c r="F170" t="inlineStr">
        <is>
          <t xml:space="preserve">فایل گندم</t>
        </is>
      </c>
      <c r="G170" t="inlineStr">
        <is>
          <t xml:space="preserve">gandom-file</t>
        </is>
      </c>
      <c r="H170" t="inlineStr">
        <is>
          <t xml:space="preserve">gandom-file</t>
        </is>
      </c>
      <c r="I170" t="inlineStr">
        <is>
          <t xml:space="preserve">baby</t>
        </is>
      </c>
      <c r="J170" t="n">
        <v>799480000</v>
      </c>
      <c r="L170" t="n">
        <v>14</v>
      </c>
      <c r="M170" t="n">
        <v>5</v>
      </c>
      <c r="N170" t="n">
        <v>5</v>
      </c>
      <c r="O170" t="inlineStr">
        <is>
          <t xml:space="preserve">in_stock</t>
        </is>
      </c>
      <c r="P170" t="inlineStr">
        <is>
          <t xml:space="preserve">width:45 · height:120 · depth:50</t>
        </is>
      </c>
      <c r="R170" t="inlineStr">
        <is>
          <t xml:space="preserve">فایل</t>
        </is>
      </c>
      <c r="X170" t="n">
        <v>1</v>
      </c>
      <c r="Y170" t="inlineStr">
        <is>
          <t xml:space="preserve">gandom-file-3-drawers.webp</t>
        </is>
      </c>
      <c r="Z170" t="inlineStr">
        <is>
          <t xml:space="preserve">http://80.240.31.146:3000/api/media/file/gandom-file-3-drawers.webp</t>
        </is>
      </c>
    </row>
    <row r="171" ht="48" customHeight="1">
      <c r="B171" t="n">
        <v>409</v>
      </c>
      <c r="C171" t="inlineStr">
        <is>
          <t xml:space="preserve">draft</t>
        </is>
      </c>
      <c r="D171" t="inlineStr">
        <is>
          <t xml:space="preserve">گندم</t>
        </is>
      </c>
      <c r="F171" t="inlineStr">
        <is>
          <t xml:space="preserve">ویترین گندم</t>
        </is>
      </c>
      <c r="G171" t="inlineStr">
        <is>
          <t xml:space="preserve">gandom-display-cabinet</t>
        </is>
      </c>
      <c r="H171" t="inlineStr">
        <is>
          <t xml:space="preserve">gandom-display-cabinet</t>
        </is>
      </c>
      <c r="I171" t="inlineStr">
        <is>
          <t xml:space="preserve">baby</t>
        </is>
      </c>
      <c r="J171" t="n">
        <v>0</v>
      </c>
      <c r="L171" t="n">
        <v>14</v>
      </c>
      <c r="M171" t="n">
        <v>5</v>
      </c>
      <c r="N171" t="n">
        <v>5</v>
      </c>
      <c r="O171" t="inlineStr">
        <is>
          <t xml:space="preserve">made_to_order</t>
        </is>
      </c>
      <c r="P171" t="inlineStr">
        <is>
          <t xml:space="preserve">width:100 · height:180 · depth:40</t>
        </is>
      </c>
      <c r="R171" t="inlineStr">
        <is>
          <t xml:space="preserve">ویترین</t>
        </is>
      </c>
      <c r="X171" t="n">
        <v>0</v>
      </c>
    </row>
    <row r="172" ht="48" customHeight="1">
      <c r="A172">
        <f>IMAGE("http://80.240.31.146:3000/_next/image?url=%2Fapi%2Fmedia%2Ffile%2Fgandom-baby-bed-v2.webp&amp;w=256&amp;q=75",4,60,80)</f>
      </c>
      <c r="B172" t="n">
        <v>408</v>
      </c>
      <c r="C172" t="inlineStr">
        <is>
          <t xml:space="preserve">published</t>
        </is>
      </c>
      <c r="D172" t="inlineStr">
        <is>
          <t xml:space="preserve">گندم</t>
        </is>
      </c>
      <c r="F172" t="inlineStr">
        <is>
          <t xml:space="preserve">تخت نوزاد گندم</t>
        </is>
      </c>
      <c r="G172" t="inlineStr">
        <is>
          <t xml:space="preserve">gandom-baby-bed</t>
        </is>
      </c>
      <c r="H172" t="inlineStr">
        <is>
          <t xml:space="preserve">gandom-baby-bed</t>
        </is>
      </c>
      <c r="I172" t="inlineStr">
        <is>
          <t xml:space="preserve">baby</t>
        </is>
      </c>
      <c r="J172" t="n">
        <v>1064920000</v>
      </c>
      <c r="L172" t="n">
        <v>14</v>
      </c>
      <c r="M172" t="n">
        <v>5</v>
      </c>
      <c r="N172" t="n">
        <v>5</v>
      </c>
      <c r="O172" t="inlineStr">
        <is>
          <t xml:space="preserve">in_stock</t>
        </is>
      </c>
      <c r="P172" t="inlineStr">
        <is>
          <t xml:space="preserve">width:120 · height:110 · depth:210</t>
        </is>
      </c>
      <c r="R172" t="inlineStr">
        <is>
          <t xml:space="preserve">تخت نوزاد</t>
        </is>
      </c>
      <c r="X172" t="n">
        <v>2</v>
      </c>
      <c r="Y172" t="inlineStr">
        <is>
          <t xml:space="preserve">gandom-baby-bed-v2.webp; gandom-baby-bed.webp</t>
        </is>
      </c>
      <c r="Z172" t="inlineStr">
        <is>
          <t xml:space="preserve">http://80.240.31.146:3000/api/media/file/gandom-baby-bed-v2.webp; http://80.240.31.146:3000/api/media/file/gandom-baby-bed.webp</t>
        </is>
      </c>
    </row>
    <row r="173" ht="48" customHeight="1">
      <c r="A173">
        <f>IMAGE("http://80.240.31.146:3000/_next/image?url=%2Fapi%2Fmedia%2Ffile%2Felizabeth-wardrobe-2-doors-mdf-cream.webp&amp;w=256&amp;q=75",4,60,80)</f>
      </c>
      <c r="B173" t="n">
        <v>407</v>
      </c>
      <c r="C173" t="inlineStr">
        <is>
          <t xml:space="preserve">published</t>
        </is>
      </c>
      <c r="D173" t="inlineStr">
        <is>
          <t xml:space="preserve">الیزابت</t>
        </is>
      </c>
      <c r="F173" t="inlineStr">
        <is>
          <t xml:space="preserve">کمد الیزابت</t>
        </is>
      </c>
      <c r="G173" t="inlineStr">
        <is>
          <t xml:space="preserve">elizabeth-wardrobe</t>
        </is>
      </c>
      <c r="H173" t="inlineStr">
        <is>
          <t xml:space="preserve">elizabeth-wardrobe</t>
        </is>
      </c>
      <c r="I173" t="inlineStr">
        <is>
          <t xml:space="preserve">baby, double, teen</t>
        </is>
      </c>
      <c r="J173" t="n">
        <v>1188590000</v>
      </c>
      <c r="L173" t="n">
        <v>14</v>
      </c>
      <c r="M173" t="n">
        <v>5</v>
      </c>
      <c r="N173" t="n">
        <v>5</v>
      </c>
      <c r="O173" t="inlineStr">
        <is>
          <t xml:space="preserve">in_stock</t>
        </is>
      </c>
      <c r="P173" t="inlineStr">
        <is>
          <t xml:space="preserve">width:120 · height:220 · depth:60</t>
        </is>
      </c>
      <c r="R173" t="inlineStr">
        <is>
          <t xml:space="preserve">کمد</t>
        </is>
      </c>
      <c r="X173" t="n">
        <v>4</v>
      </c>
      <c r="Y173" t="inlineStr">
        <is>
          <t xml:space="preserve">elizabeth-wardrobe-2-doors-mdf-cream.webp; elizabeth-wardrobe-3-doors-mdf-cream.webp; elizabeth-wardrobe-2-doors-mdf-gray.webp; elizabeth-wardrobe-3-doors-mdf-gray.webp</t>
        </is>
      </c>
      <c r="Z173" t="inlineStr">
        <is>
          <t xml:space="preserve">http://80.240.31.146:3000/api/media/file/elizabeth-wardrobe-2-doors-mdf-cream.webp; http://80.240.31.146:3000/api/media/file/elizabeth-wardrobe-3-doors-mdf-cream.webp; http://80.240.31.146:3000/api/media/file/elizabeth-wardrobe-2-doors-mdf-gray.webp; http://80.240.31.146:3000/api/media/file/elizabeth-wardrobe-3-doors-mdf-gray.webp</t>
        </is>
      </c>
    </row>
    <row r="174" ht="48" customHeight="1">
      <c r="A174">
        <f>IMAGE("http://80.240.31.146:3000/_next/image?url=%2Fapi%2Fmedia%2Ffile%2Felizabeth-wall-shelf-cream.webp&amp;w=256&amp;q=75",4,60,80)</f>
      </c>
      <c r="B174" t="n">
        <v>406</v>
      </c>
      <c r="C174" t="inlineStr">
        <is>
          <t xml:space="preserve">published</t>
        </is>
      </c>
      <c r="D174" t="inlineStr">
        <is>
          <t xml:space="preserve">الیزابت</t>
        </is>
      </c>
      <c r="F174" t="inlineStr">
        <is>
          <t xml:space="preserve">شلف دیواری الیزابت</t>
        </is>
      </c>
      <c r="G174" t="inlineStr">
        <is>
          <t xml:space="preserve">elizabeth-wall-shelf</t>
        </is>
      </c>
      <c r="H174" t="inlineStr">
        <is>
          <t xml:space="preserve">elizabeth-wall-shelf</t>
        </is>
      </c>
      <c r="I174" t="inlineStr">
        <is>
          <t xml:space="preserve">baby, double, teen</t>
        </is>
      </c>
      <c r="J174" t="n">
        <v>110850000</v>
      </c>
      <c r="L174" t="n">
        <v>14</v>
      </c>
      <c r="M174" t="n">
        <v>5</v>
      </c>
      <c r="N174" t="n">
        <v>5</v>
      </c>
      <c r="O174" t="inlineStr">
        <is>
          <t xml:space="preserve">in_stock</t>
        </is>
      </c>
      <c r="P174" t="inlineStr">
        <is>
          <t xml:space="preserve">width:80 · height:25 · depth:25</t>
        </is>
      </c>
      <c r="R174" t="inlineStr">
        <is>
          <t xml:space="preserve">شلف دیواری (براکت)</t>
        </is>
      </c>
      <c r="X174" t="n">
        <v>2</v>
      </c>
      <c r="Y174" t="inlineStr">
        <is>
          <t xml:space="preserve">elizabeth-wall-shelf-cream.webp; elizabeth-wall-shelf-gray.webp</t>
        </is>
      </c>
      <c r="Z174" t="inlineStr">
        <is>
          <t xml:space="preserve">http://80.240.31.146:3000/api/media/file/elizabeth-wall-shelf-cream.webp; http://80.240.31.146:3000/api/media/file/elizabeth-wall-shelf-gray.webp</t>
        </is>
      </c>
    </row>
    <row r="175" ht="48" customHeight="1">
      <c r="B175" t="n">
        <v>405</v>
      </c>
      <c r="C175" t="inlineStr">
        <is>
          <t xml:space="preserve">draft</t>
        </is>
      </c>
      <c r="D175" t="inlineStr">
        <is>
          <t xml:space="preserve">الیزابت</t>
        </is>
      </c>
      <c r="F175" t="inlineStr">
        <is>
          <t xml:space="preserve">صندلی میز آرایش الیزابت</t>
        </is>
      </c>
      <c r="G175" t="inlineStr">
        <is>
          <t xml:space="preserve">elizabeth-vanity-chair</t>
        </is>
      </c>
      <c r="H175" t="inlineStr">
        <is>
          <t xml:space="preserve">elizabeth-vanity-chair</t>
        </is>
      </c>
      <c r="I175" t="inlineStr">
        <is>
          <t xml:space="preserve">baby, double, teen</t>
        </is>
      </c>
      <c r="J175" t="n">
        <v>131560000</v>
      </c>
      <c r="L175" t="n">
        <v>14</v>
      </c>
      <c r="M175" t="n">
        <v>5</v>
      </c>
      <c r="N175" t="n">
        <v>5</v>
      </c>
      <c r="O175" t="inlineStr">
        <is>
          <t xml:space="preserve">in_stock</t>
        </is>
      </c>
      <c r="P175" t="inlineStr">
        <is>
          <t xml:space="preserve">width:100 · height:78 · depth:45</t>
        </is>
      </c>
      <c r="R175" t="inlineStr">
        <is>
          <t xml:space="preserve">صندلی میز آرایش</t>
        </is>
      </c>
      <c r="X175" t="n">
        <v>0</v>
      </c>
    </row>
    <row r="176" ht="48" customHeight="1">
      <c r="A176">
        <f>IMAGE("http://80.240.31.146:3000/_next/image?url=%2Fapi%2Fmedia%2Ffile%2Felizabeth-vanity-2-drawers-cream.webp&amp;w=256&amp;q=75",4,60,80)</f>
      </c>
      <c r="B176" t="n">
        <v>404</v>
      </c>
      <c r="C176" t="inlineStr">
        <is>
          <t xml:space="preserve">draft</t>
        </is>
      </c>
      <c r="D176" t="inlineStr">
        <is>
          <t xml:space="preserve">الیزابت</t>
        </is>
      </c>
      <c r="F176" t="inlineStr">
        <is>
          <t xml:space="preserve">میز آرایش الیزابت</t>
        </is>
      </c>
      <c r="G176" t="inlineStr">
        <is>
          <t xml:space="preserve">elizabeth-vanity</t>
        </is>
      </c>
      <c r="H176" t="inlineStr">
        <is>
          <t xml:space="preserve">elizabeth-vanity</t>
        </is>
      </c>
      <c r="I176" t="inlineStr">
        <is>
          <t xml:space="preserve">baby, double, teen</t>
        </is>
      </c>
      <c r="J176" t="n">
        <v>0</v>
      </c>
      <c r="L176" t="n">
        <v>14</v>
      </c>
      <c r="M176" t="n">
        <v>5</v>
      </c>
      <c r="N176" t="n">
        <v>5</v>
      </c>
      <c r="O176" t="inlineStr">
        <is>
          <t xml:space="preserve">made_to_order</t>
        </is>
      </c>
      <c r="P176" t="inlineStr">
        <is>
          <t xml:space="preserve">width:100 · height:78 · depth:45</t>
        </is>
      </c>
      <c r="R176" t="inlineStr">
        <is>
          <t xml:space="preserve">میز آرایش</t>
        </is>
      </c>
      <c r="X176" t="n">
        <v>6</v>
      </c>
      <c r="Y176" t="inlineStr">
        <is>
          <t xml:space="preserve">elizabeth-vanity-2-drawers-cream.webp; elizabeth-vanity-4-drawers-chair-cream.webp; elizabeth-vanity-4-drawers-cream.webp; elizabeth-vanity-2-drawers-gray.webp; elizabeth-vanity-4-drawers-chair-gray.webp; elizabeth-vanity-4-drawers-gray.webp</t>
        </is>
      </c>
      <c r="Z176" t="inlineStr">
        <is>
          <t xml:space="preserve">http://80.240.31.146:3000/api/media/file/elizabeth-vanity-2-drawers-cream.webp; http://80.240.31.146:3000/api/media/file/elizabeth-vanity-4-drawers-chair-cream.webp; http://80.240.31.146:3000/api/media/file/elizabeth-vanity-4-drawers-cream.webp; http://80.240.31.146:3000/api/media/file/elizabeth-vanity-2-drawers-gray.webp; http://80.240.31.146:3000/api/media/file/elizabeth-vanity-4-drawers-chair-gray.webp; http://80.240.31.146:3000/api/media/file/elizabeth-vanity-4-drawers-gray.webp</t>
        </is>
      </c>
    </row>
    <row r="177" ht="48" customHeight="1">
      <c r="A177">
        <f>IMAGE("http://80.240.31.146:3000/_next/image?url=%2Fapi%2Fmedia%2Ffile%2Felizabeth-table-mirror-cream.webp&amp;w=256&amp;q=75",4,60,80)</f>
      </c>
      <c r="B177" t="n">
        <v>403</v>
      </c>
      <c r="C177" t="inlineStr">
        <is>
          <t xml:space="preserve">published</t>
        </is>
      </c>
      <c r="D177" t="inlineStr">
        <is>
          <t xml:space="preserve">الیزابت</t>
        </is>
      </c>
      <c r="F177" t="inlineStr">
        <is>
          <t xml:space="preserve">آینه رومیزی الیزابت</t>
        </is>
      </c>
      <c r="G177" t="inlineStr">
        <is>
          <t xml:space="preserve">elizabeth-table-mirror</t>
        </is>
      </c>
      <c r="H177" t="inlineStr">
        <is>
          <t xml:space="preserve">elizabeth-table-mirror</t>
        </is>
      </c>
      <c r="I177" t="inlineStr">
        <is>
          <t xml:space="preserve">baby, double, teen</t>
        </is>
      </c>
      <c r="J177" t="n">
        <v>244410000</v>
      </c>
      <c r="L177" t="n">
        <v>14</v>
      </c>
      <c r="M177" t="n">
        <v>5</v>
      </c>
      <c r="N177" t="n">
        <v>5</v>
      </c>
      <c r="O177" t="inlineStr">
        <is>
          <t xml:space="preserve">in_stock</t>
        </is>
      </c>
      <c r="P177" t="inlineStr">
        <is>
          <t xml:space="preserve">width:60 · height:70 · depth:5</t>
        </is>
      </c>
      <c r="R177" t="inlineStr">
        <is>
          <t xml:space="preserve">آینه رومیزی</t>
        </is>
      </c>
      <c r="X177" t="n">
        <v>2</v>
      </c>
      <c r="Y177" t="inlineStr">
        <is>
          <t xml:space="preserve">elizabeth-table-mirror-cream.webp; elizabeth-table-mirror-gray.webp</t>
        </is>
      </c>
      <c r="Z177" t="inlineStr">
        <is>
          <t xml:space="preserve">http://80.240.31.146:3000/api/media/file/elizabeth-table-mirror-cream.webp; http://80.240.31.146:3000/api/media/file/elizabeth-table-mirror-gray.webp</t>
        </is>
      </c>
    </row>
    <row r="178" ht="48" customHeight="1">
      <c r="A178">
        <f>IMAGE("http://80.240.31.146:3000/_next/image?url=%2Fapi%2Fmedia%2Ffile%2Felizabeth-study-desk-cream.webp&amp;w=256&amp;q=75",4,60,80)</f>
      </c>
      <c r="B178" t="n">
        <v>402</v>
      </c>
      <c r="C178" t="inlineStr">
        <is>
          <t xml:space="preserve">published</t>
        </is>
      </c>
      <c r="D178" t="inlineStr">
        <is>
          <t xml:space="preserve">الیزابت</t>
        </is>
      </c>
      <c r="F178" t="inlineStr">
        <is>
          <t xml:space="preserve">میز تحریر الیزابت</t>
        </is>
      </c>
      <c r="G178" t="inlineStr">
        <is>
          <t xml:space="preserve">elizabeth-study-desk</t>
        </is>
      </c>
      <c r="H178" t="inlineStr">
        <is>
          <t xml:space="preserve">elizabeth-study-desk</t>
        </is>
      </c>
      <c r="I178" t="inlineStr">
        <is>
          <t xml:space="preserve">baby, double, teen</t>
        </is>
      </c>
      <c r="J178" t="n">
        <v>590900000</v>
      </c>
      <c r="L178" t="n">
        <v>14</v>
      </c>
      <c r="M178" t="n">
        <v>5</v>
      </c>
      <c r="N178" t="n">
        <v>5</v>
      </c>
      <c r="O178" t="inlineStr">
        <is>
          <t xml:space="preserve">in_stock</t>
        </is>
      </c>
      <c r="P178" t="inlineStr">
        <is>
          <t xml:space="preserve">width:120 · height:75 · depth:60</t>
        </is>
      </c>
      <c r="R178" t="inlineStr">
        <is>
          <t xml:space="preserve">میز تحریر</t>
        </is>
      </c>
      <c r="X178" t="n">
        <v>2</v>
      </c>
      <c r="Y178" t="inlineStr">
        <is>
          <t xml:space="preserve">elizabeth-study-desk-cream.webp; elizabeth-study-desk-gray.webp</t>
        </is>
      </c>
      <c r="Z178" t="inlineStr">
        <is>
          <t xml:space="preserve">http://80.240.31.146:3000/api/media/file/elizabeth-study-desk-cream.webp; http://80.240.31.146:3000/api/media/file/elizabeth-study-desk-gray.webp</t>
        </is>
      </c>
    </row>
    <row r="179" ht="48" customHeight="1">
      <c r="B179" t="n">
        <v>401</v>
      </c>
      <c r="C179" t="inlineStr">
        <is>
          <t xml:space="preserve">draft</t>
        </is>
      </c>
      <c r="D179" t="inlineStr">
        <is>
          <t xml:space="preserve">الیزابت</t>
        </is>
      </c>
      <c r="F179" t="inlineStr">
        <is>
          <t xml:space="preserve">صندلی میز تحریر الیزابت</t>
        </is>
      </c>
      <c r="G179" t="inlineStr">
        <is>
          <t xml:space="preserve">elizabeth-study-chair</t>
        </is>
      </c>
      <c r="H179" t="inlineStr">
        <is>
          <t xml:space="preserve">elizabeth-study-chair</t>
        </is>
      </c>
      <c r="I179" t="inlineStr">
        <is>
          <t xml:space="preserve">baby, double, teen</t>
        </is>
      </c>
      <c r="J179" t="n">
        <v>421820000</v>
      </c>
      <c r="L179" t="n">
        <v>14</v>
      </c>
      <c r="M179" t="n">
        <v>5</v>
      </c>
      <c r="N179" t="n">
        <v>5</v>
      </c>
      <c r="O179" t="inlineStr">
        <is>
          <t xml:space="preserve">in_stock</t>
        </is>
      </c>
      <c r="P179" t="inlineStr">
        <is>
          <t xml:space="preserve">width:50 · height:85 · depth:50</t>
        </is>
      </c>
      <c r="R179" t="inlineStr">
        <is>
          <t xml:space="preserve">صندلی میز تحریر</t>
        </is>
      </c>
      <c r="X179" t="n">
        <v>0</v>
      </c>
    </row>
    <row r="180" ht="48" customHeight="1">
      <c r="A180">
        <f>IMAGE("http://80.240.31.146:3000/_next/image?url=%2Fapi%2Fmedia%2Ffile%2Felizabeth-standing-mirror-cream.webp&amp;w=256&amp;q=75",4,60,80)</f>
      </c>
      <c r="B180" t="n">
        <v>400</v>
      </c>
      <c r="C180" t="inlineStr">
        <is>
          <t xml:space="preserve">published</t>
        </is>
      </c>
      <c r="D180" t="inlineStr">
        <is>
          <t xml:space="preserve">الیزابت</t>
        </is>
      </c>
      <c r="F180" t="inlineStr">
        <is>
          <t xml:space="preserve">آینه قدی الیزابت</t>
        </is>
      </c>
      <c r="G180" t="inlineStr">
        <is>
          <t xml:space="preserve">elizabeth-standing-mirror</t>
        </is>
      </c>
      <c r="H180" t="inlineStr">
        <is>
          <t xml:space="preserve">elizabeth-standing-mirror</t>
        </is>
      </c>
      <c r="I180" t="inlineStr">
        <is>
          <t xml:space="preserve">baby, double, teen</t>
        </is>
      </c>
      <c r="J180" t="n">
        <v>490620000</v>
      </c>
      <c r="L180" t="n">
        <v>14</v>
      </c>
      <c r="M180" t="n">
        <v>5</v>
      </c>
      <c r="N180" t="n">
        <v>5</v>
      </c>
      <c r="O180" t="inlineStr">
        <is>
          <t xml:space="preserve">in_stock</t>
        </is>
      </c>
      <c r="P180" t="inlineStr">
        <is>
          <t xml:space="preserve">width:60 · height:180 · depth:5</t>
        </is>
      </c>
      <c r="R180" t="inlineStr">
        <is>
          <t xml:space="preserve">آینه قدی</t>
        </is>
      </c>
      <c r="X180" t="n">
        <v>2</v>
      </c>
      <c r="Y180" t="inlineStr">
        <is>
          <t xml:space="preserve">elizabeth-standing-mirror-cream.webp; elizabeth-standing-mirror-gray.webp</t>
        </is>
      </c>
      <c r="Z180" t="inlineStr">
        <is>
          <t xml:space="preserve">http://80.240.31.146:3000/api/media/file/elizabeth-standing-mirror-cream.webp; http://80.240.31.146:3000/api/media/file/elizabeth-standing-mirror-gray.webp</t>
        </is>
      </c>
    </row>
    <row r="181" ht="48" customHeight="1">
      <c r="A181">
        <f>IMAGE("http://80.240.31.146:3000/_next/image?url=%2Fapi%2Fmedia%2Ffile%2Felizabeth-single-bed-100-cream.webp&amp;w=256&amp;q=75",4,60,80)</f>
      </c>
      <c r="B181" t="n">
        <v>399</v>
      </c>
      <c r="C181" t="inlineStr">
        <is>
          <t xml:space="preserve">published</t>
        </is>
      </c>
      <c r="D181" t="inlineStr">
        <is>
          <t xml:space="preserve">الیزابت</t>
        </is>
      </c>
      <c r="F181" t="inlineStr">
        <is>
          <t xml:space="preserve">تخت یک نفره الیزابت</t>
        </is>
      </c>
      <c r="G181" t="inlineStr">
        <is>
          <t xml:space="preserve">elizabeth-single-bed</t>
        </is>
      </c>
      <c r="H181" t="inlineStr">
        <is>
          <t xml:space="preserve">elizabeth-single-bed</t>
        </is>
      </c>
      <c r="I181" t="inlineStr">
        <is>
          <t xml:space="preserve">baby, double, teen</t>
        </is>
      </c>
      <c r="J181" t="n">
        <v>896250000</v>
      </c>
      <c r="L181" t="n">
        <v>14</v>
      </c>
      <c r="M181" t="n">
        <v>5</v>
      </c>
      <c r="N181" t="n">
        <v>5</v>
      </c>
      <c r="O181" t="inlineStr">
        <is>
          <t xml:space="preserve">in_stock</t>
        </is>
      </c>
      <c r="P181" t="inlineStr">
        <is>
          <t xml:space="preserve">width:100 · height:110 · depth:210</t>
        </is>
      </c>
      <c r="R181" t="inlineStr">
        <is>
          <t xml:space="preserve">تخت یک نفره</t>
        </is>
      </c>
      <c r="X181" t="n">
        <v>4</v>
      </c>
      <c r="Y181" t="inlineStr">
        <is>
          <t xml:space="preserve">elizabeth-single-bed-100-cream.webp; elizabeth-single-bed-120-cream.webp; elizabeth-single-bed-100-gray.webp; elizabeth-single-bed-120-gray.webp</t>
        </is>
      </c>
      <c r="Z181" t="inlineStr">
        <is>
          <t xml:space="preserve">http://80.240.31.146:3000/api/media/file/elizabeth-single-bed-100-cream.webp; http://80.240.31.146:3000/api/media/file/elizabeth-single-bed-120-cream.webp; http://80.240.31.146:3000/api/media/file/elizabeth-single-bed-100-gray.webp; http://80.240.31.146:3000/api/media/file/elizabeth-single-bed-120-gray.webp</t>
        </is>
      </c>
    </row>
    <row r="182" ht="48" customHeight="1">
      <c r="A182">
        <f>IMAGE("http://80.240.31.146:3000/_next/image?url=%2Fapi%2Fmedia%2Ffile%2Felizabeth-nightstand-cream.webp&amp;w=256&amp;q=75",4,60,80)</f>
      </c>
      <c r="B182" t="n">
        <v>398</v>
      </c>
      <c r="C182" t="inlineStr">
        <is>
          <t xml:space="preserve">published</t>
        </is>
      </c>
      <c r="D182" t="inlineStr">
        <is>
          <t xml:space="preserve">الیزابت</t>
        </is>
      </c>
      <c r="F182" t="inlineStr">
        <is>
          <t xml:space="preserve">پاتختی الیزابت</t>
        </is>
      </c>
      <c r="G182" t="inlineStr">
        <is>
          <t xml:space="preserve">elizabeth-nightstand</t>
        </is>
      </c>
      <c r="H182" t="inlineStr">
        <is>
          <t xml:space="preserve">elizabeth-nightstand</t>
        </is>
      </c>
      <c r="I182" t="inlineStr">
        <is>
          <t xml:space="preserve">baby, double, teen</t>
        </is>
      </c>
      <c r="J182" t="n">
        <v>424960000</v>
      </c>
      <c r="L182" t="n">
        <v>14</v>
      </c>
      <c r="M182" t="n">
        <v>5</v>
      </c>
      <c r="N182" t="n">
        <v>5</v>
      </c>
      <c r="O182" t="inlineStr">
        <is>
          <t xml:space="preserve">in_stock</t>
        </is>
      </c>
      <c r="P182" t="inlineStr">
        <is>
          <t xml:space="preserve">width:50 · height:55 · depth:40</t>
        </is>
      </c>
      <c r="R182" t="inlineStr">
        <is>
          <t xml:space="preserve">پاتختی</t>
        </is>
      </c>
      <c r="X182" t="n">
        <v>2</v>
      </c>
      <c r="Y182" t="inlineStr">
        <is>
          <t xml:space="preserve">elizabeth-nightstand-cream.webp; elizabeth-nightstand-gray.webp</t>
        </is>
      </c>
      <c r="Z182" t="inlineStr">
        <is>
          <t xml:space="preserve">http://80.240.31.146:3000/api/media/file/elizabeth-nightstand-cream.webp; http://80.240.31.146:3000/api/media/file/elizabeth-nightstand-gray.webp</t>
        </is>
      </c>
    </row>
    <row r="183" ht="48" customHeight="1">
      <c r="A183">
        <f>IMAGE("http://80.240.31.146:3000/_next/image?url=%2Fapi%2Fmedia%2Ffile%2Felizabeth-loveseat-cream.webp&amp;w=256&amp;q=75",4,60,80)</f>
      </c>
      <c r="B183" t="n">
        <v>397</v>
      </c>
      <c r="C183" t="inlineStr">
        <is>
          <t xml:space="preserve">published</t>
        </is>
      </c>
      <c r="D183" t="inlineStr">
        <is>
          <t xml:space="preserve">الیزابت</t>
        </is>
      </c>
      <c r="F183" t="inlineStr">
        <is>
          <t xml:space="preserve">لاوست الیزابت</t>
        </is>
      </c>
      <c r="G183" t="inlineStr">
        <is>
          <t xml:space="preserve">elizabeth-loveseat</t>
        </is>
      </c>
      <c r="H183" t="inlineStr">
        <is>
          <t xml:space="preserve">elizabeth-loveseat</t>
        </is>
      </c>
      <c r="I183" t="inlineStr">
        <is>
          <t xml:space="preserve">baby, double, teen</t>
        </is>
      </c>
      <c r="J183" t="n">
        <v>159880000</v>
      </c>
      <c r="L183" t="n">
        <v>14</v>
      </c>
      <c r="M183" t="n">
        <v>5</v>
      </c>
      <c r="N183" t="n">
        <v>5</v>
      </c>
      <c r="O183" t="inlineStr">
        <is>
          <t xml:space="preserve">in_stock</t>
        </is>
      </c>
      <c r="P183" t="inlineStr">
        <is>
          <t xml:space="preserve">width:140 · height:80 · depth:70</t>
        </is>
      </c>
      <c r="R183" t="inlineStr">
        <is>
          <t xml:space="preserve">لاوست</t>
        </is>
      </c>
      <c r="X183" t="n">
        <v>2</v>
      </c>
      <c r="Y183" t="inlineStr">
        <is>
          <t xml:space="preserve">elizabeth-loveseat-cream.webp; elizabeth-loveseat-gray.webp</t>
        </is>
      </c>
      <c r="Z183" t="inlineStr">
        <is>
          <t xml:space="preserve">http://80.240.31.146:3000/api/media/file/elizabeth-loveseat-cream.webp; http://80.240.31.146:3000/api/media/file/elizabeth-loveseat-gray.webp</t>
        </is>
      </c>
    </row>
    <row r="184" ht="48" customHeight="1">
      <c r="A184">
        <f>IMAGE("http://80.240.31.146:3000/_next/image?url=%2Fapi%2Fmedia%2Ffile%2Felizabeth-file-5-drawers-cream.webp&amp;w=256&amp;q=75",4,60,80)</f>
      </c>
      <c r="B184" t="n">
        <v>396</v>
      </c>
      <c r="C184" t="inlineStr">
        <is>
          <t xml:space="preserve">published</t>
        </is>
      </c>
      <c r="D184" t="inlineStr">
        <is>
          <t xml:space="preserve">الیزابت</t>
        </is>
      </c>
      <c r="F184" t="inlineStr">
        <is>
          <t xml:space="preserve">فایل الیزابت</t>
        </is>
      </c>
      <c r="G184" t="inlineStr">
        <is>
          <t xml:space="preserve">elizabeth-file</t>
        </is>
      </c>
      <c r="H184" t="inlineStr">
        <is>
          <t xml:space="preserve">elizabeth-file</t>
        </is>
      </c>
      <c r="I184" t="inlineStr">
        <is>
          <t xml:space="preserve">baby, double, teen</t>
        </is>
      </c>
      <c r="J184" t="n">
        <v>818160000</v>
      </c>
      <c r="L184" t="n">
        <v>14</v>
      </c>
      <c r="M184" t="n">
        <v>5</v>
      </c>
      <c r="N184" t="n">
        <v>5</v>
      </c>
      <c r="O184" t="inlineStr">
        <is>
          <t xml:space="preserve">in_stock</t>
        </is>
      </c>
      <c r="P184" t="inlineStr">
        <is>
          <t xml:space="preserve">width:45 · height:120 · depth:50</t>
        </is>
      </c>
      <c r="R184" t="inlineStr">
        <is>
          <t xml:space="preserve">فایل</t>
        </is>
      </c>
      <c r="X184" t="n">
        <v>2</v>
      </c>
      <c r="Y184" t="inlineStr">
        <is>
          <t xml:space="preserve">elizabeth-file-5-drawers-cream.webp; elizabeth-file-5-drawers-gray.webp</t>
        </is>
      </c>
      <c r="Z184" t="inlineStr">
        <is>
          <t xml:space="preserve">http://80.240.31.146:3000/api/media/file/elizabeth-file-5-drawers-cream.webp; http://80.240.31.146:3000/api/media/file/elizabeth-file-5-drawers-gray.webp</t>
        </is>
      </c>
    </row>
    <row r="185" ht="48" customHeight="1">
      <c r="A185">
        <f>IMAGE("http://80.240.31.146:3000/_next/image?url=%2Fapi%2Fmedia%2Ffile%2Felizabeth-double-bed-160-cream.webp&amp;w=256&amp;q=75",4,60,80)</f>
      </c>
      <c r="B185" t="n">
        <v>395</v>
      </c>
      <c r="C185" t="inlineStr">
        <is>
          <t xml:space="preserve">published</t>
        </is>
      </c>
      <c r="D185" t="inlineStr">
        <is>
          <t xml:space="preserve">الیزابت</t>
        </is>
      </c>
      <c r="F185" t="inlineStr">
        <is>
          <t xml:space="preserve">تخت دونفره الیزابت</t>
        </is>
      </c>
      <c r="G185" t="inlineStr">
        <is>
          <t xml:space="preserve">elizabeth-double-bed</t>
        </is>
      </c>
      <c r="H185" t="inlineStr">
        <is>
          <t xml:space="preserve">elizabeth-double-bed</t>
        </is>
      </c>
      <c r="I185" t="inlineStr">
        <is>
          <t xml:space="preserve">baby, double, teen</t>
        </is>
      </c>
      <c r="J185" t="n">
        <v>1165300000</v>
      </c>
      <c r="L185" t="n">
        <v>14</v>
      </c>
      <c r="M185" t="n">
        <v>5</v>
      </c>
      <c r="N185" t="n">
        <v>5</v>
      </c>
      <c r="O185" t="inlineStr">
        <is>
          <t xml:space="preserve">in_stock</t>
        </is>
      </c>
      <c r="P185" t="inlineStr">
        <is>
          <t xml:space="preserve">width:160 · height:110 · depth:215</t>
        </is>
      </c>
      <c r="R185" t="inlineStr">
        <is>
          <t xml:space="preserve">تخت دونفره</t>
        </is>
      </c>
      <c r="X185" t="n">
        <v>2</v>
      </c>
      <c r="Y185" t="inlineStr">
        <is>
          <t xml:space="preserve">elizabeth-double-bed-160-cream.webp; elizabeth-double-bed-160-gray.webp</t>
        </is>
      </c>
      <c r="Z185" t="inlineStr">
        <is>
          <t xml:space="preserve">http://80.240.31.146:3000/api/media/file/elizabeth-double-bed-160-cream.webp; http://80.240.31.146:3000/api/media/file/elizabeth-double-bed-160-gray.webp</t>
        </is>
      </c>
    </row>
    <row r="186" ht="48" customHeight="1">
      <c r="A186">
        <f>IMAGE("http://80.240.31.146:3000/_next/image?url=%2Fapi%2Fmedia%2Ffile%2Felizabeth-convertible-bed-teen-cream.webp&amp;w=256&amp;q=75",4,60,80)</f>
      </c>
      <c r="B186" t="n">
        <v>394</v>
      </c>
      <c r="C186" t="inlineStr">
        <is>
          <t xml:space="preserve">published</t>
        </is>
      </c>
      <c r="D186" t="inlineStr">
        <is>
          <t xml:space="preserve">الیزابت</t>
        </is>
      </c>
      <c r="F186" t="inlineStr">
        <is>
          <t xml:space="preserve">تخت نوزاد دومنظوره الیزابت</t>
        </is>
      </c>
      <c r="G186" t="inlineStr">
        <is>
          <t xml:space="preserve">elizabeth-convertible-bed</t>
        </is>
      </c>
      <c r="H186" t="inlineStr">
        <is>
          <t xml:space="preserve">elizabeth-convertible-bed</t>
        </is>
      </c>
      <c r="I186" t="inlineStr">
        <is>
          <t xml:space="preserve">baby, double, teen</t>
        </is>
      </c>
      <c r="J186" t="n">
        <v>1700660000</v>
      </c>
      <c r="L186" t="n">
        <v>14</v>
      </c>
      <c r="M186" t="n">
        <v>5</v>
      </c>
      <c r="N186" t="n">
        <v>5</v>
      </c>
      <c r="O186" t="inlineStr">
        <is>
          <t xml:space="preserve">in_stock</t>
        </is>
      </c>
      <c r="P186" t="inlineStr">
        <is>
          <t xml:space="preserve">width:90 · height:105 · depth:195</t>
        </is>
      </c>
      <c r="R186" t="inlineStr">
        <is>
          <t xml:space="preserve">تخت نوزاد دومظوره (نوزاد نوجوان، کاناپه ای)</t>
        </is>
      </c>
      <c r="X186" t="n">
        <v>2</v>
      </c>
      <c r="Y186" t="inlineStr">
        <is>
          <t xml:space="preserve">elizabeth-convertible-bed-teen-cream.webp; elizabeth-convertible-bed-teen-gray.webp</t>
        </is>
      </c>
      <c r="Z186" t="inlineStr">
        <is>
          <t xml:space="preserve">http://80.240.31.146:3000/api/media/file/elizabeth-convertible-bed-teen-cream.webp; http://80.240.31.146:3000/api/media/file/elizabeth-convertible-bed-teen-gray.webp</t>
        </is>
      </c>
    </row>
    <row r="187" ht="48" customHeight="1">
      <c r="B187" t="n">
        <v>393</v>
      </c>
      <c r="C187" t="inlineStr">
        <is>
          <t xml:space="preserve">draft</t>
        </is>
      </c>
      <c r="D187" t="inlineStr">
        <is>
          <t xml:space="preserve">الیزابت</t>
        </is>
      </c>
      <c r="F187" t="inlineStr">
        <is>
          <t xml:space="preserve">کنسول الیزابت</t>
        </is>
      </c>
      <c r="G187" t="inlineStr">
        <is>
          <t xml:space="preserve">elizabeth-console</t>
        </is>
      </c>
      <c r="H187" t="inlineStr">
        <is>
          <t xml:space="preserve">elizabeth-console</t>
        </is>
      </c>
      <c r="I187" t="inlineStr">
        <is>
          <t xml:space="preserve">baby, double, teen</t>
        </is>
      </c>
      <c r="J187" t="n">
        <v>0</v>
      </c>
      <c r="L187" t="n">
        <v>14</v>
      </c>
      <c r="M187" t="n">
        <v>5</v>
      </c>
      <c r="N187" t="n">
        <v>5</v>
      </c>
      <c r="O187" t="inlineStr">
        <is>
          <t xml:space="preserve">made_to_order</t>
        </is>
      </c>
      <c r="P187" t="inlineStr">
        <is>
          <t xml:space="preserve">width:110 · height:80 · depth:35</t>
        </is>
      </c>
      <c r="R187" t="inlineStr">
        <is>
          <t xml:space="preserve">کنسول</t>
        </is>
      </c>
      <c r="X187" t="n">
        <v>0</v>
      </c>
    </row>
    <row r="188" ht="48" customHeight="1">
      <c r="A188">
        <f>IMAGE("http://80.240.31.146:3000/_next/image?url=%2Fapi%2Fmedia%2Ffile%2Felizabeth-bookcase-cream.webp&amp;w=256&amp;q=75",4,60,80)</f>
      </c>
      <c r="B188" t="n">
        <v>392</v>
      </c>
      <c r="C188" t="inlineStr">
        <is>
          <t xml:space="preserve">published</t>
        </is>
      </c>
      <c r="D188" t="inlineStr">
        <is>
          <t xml:space="preserve">الیزابت</t>
        </is>
      </c>
      <c r="F188" t="inlineStr">
        <is>
          <t xml:space="preserve">کتابخانه الیزابت</t>
        </is>
      </c>
      <c r="G188" t="inlineStr">
        <is>
          <t xml:space="preserve">elizabeth-bookcase</t>
        </is>
      </c>
      <c r="H188" t="inlineStr">
        <is>
          <t xml:space="preserve">elizabeth-bookcase</t>
        </is>
      </c>
      <c r="I188" t="inlineStr">
        <is>
          <t xml:space="preserve">baby, double, teen</t>
        </is>
      </c>
      <c r="J188" t="n">
        <v>899750000</v>
      </c>
      <c r="L188" t="n">
        <v>14</v>
      </c>
      <c r="M188" t="n">
        <v>5</v>
      </c>
      <c r="N188" t="n">
        <v>5</v>
      </c>
      <c r="O188" t="inlineStr">
        <is>
          <t xml:space="preserve">in_stock</t>
        </is>
      </c>
      <c r="P188" t="inlineStr">
        <is>
          <t xml:space="preserve">width:80 · height:200 · depth:35</t>
        </is>
      </c>
      <c r="R188" t="inlineStr">
        <is>
          <t xml:space="preserve">کتابخانه</t>
        </is>
      </c>
      <c r="X188" t="n">
        <v>2</v>
      </c>
      <c r="Y188" t="inlineStr">
        <is>
          <t xml:space="preserve">elizabeth-bookcase-cream.webp; elizabeth-bookcase-gray.webp</t>
        </is>
      </c>
      <c r="Z188" t="inlineStr">
        <is>
          <t xml:space="preserve">http://80.240.31.146:3000/api/media/file/elizabeth-bookcase-cream.webp; http://80.240.31.146:3000/api/media/file/elizabeth-bookcase-gray.webp</t>
        </is>
      </c>
    </row>
    <row r="189" ht="48" customHeight="1">
      <c r="B189" t="n">
        <v>391</v>
      </c>
      <c r="C189" t="inlineStr">
        <is>
          <t xml:space="preserve">draft</t>
        </is>
      </c>
      <c r="D189" t="inlineStr">
        <is>
          <t xml:space="preserve">الیزا</t>
        </is>
      </c>
      <c r="F189" t="inlineStr">
        <is>
          <t xml:space="preserve">کمد الیزا</t>
        </is>
      </c>
      <c r="G189" t="inlineStr">
        <is>
          <t xml:space="preserve">eliza-wardrobe</t>
        </is>
      </c>
      <c r="H189" t="inlineStr">
        <is>
          <t xml:space="preserve">eliza-wardrobe</t>
        </is>
      </c>
      <c r="I189" t="inlineStr">
        <is>
          <t xml:space="preserve">double, teen</t>
        </is>
      </c>
      <c r="J189" t="n">
        <v>0</v>
      </c>
      <c r="L189" t="n">
        <v>14</v>
      </c>
      <c r="M189" t="n">
        <v>5</v>
      </c>
      <c r="N189" t="n">
        <v>5</v>
      </c>
      <c r="O189" t="inlineStr">
        <is>
          <t xml:space="preserve">made_to_order</t>
        </is>
      </c>
      <c r="P189" t="inlineStr">
        <is>
          <t xml:space="preserve">width:120 · height:220 · depth:60</t>
        </is>
      </c>
      <c r="R189" t="inlineStr">
        <is>
          <t xml:space="preserve">کمد</t>
        </is>
      </c>
      <c r="X189" t="n">
        <v>0</v>
      </c>
    </row>
    <row r="190" ht="48" customHeight="1">
      <c r="B190" t="n">
        <v>390</v>
      </c>
      <c r="C190" t="inlineStr">
        <is>
          <t xml:space="preserve">draft</t>
        </is>
      </c>
      <c r="D190" t="inlineStr">
        <is>
          <t xml:space="preserve">الیزا</t>
        </is>
      </c>
      <c r="F190" t="inlineStr">
        <is>
          <t xml:space="preserve">شلف دیواری الیزا</t>
        </is>
      </c>
      <c r="G190" t="inlineStr">
        <is>
          <t xml:space="preserve">eliza-wall-shelf</t>
        </is>
      </c>
      <c r="H190" t="inlineStr">
        <is>
          <t xml:space="preserve">eliza-wall-shelf</t>
        </is>
      </c>
      <c r="I190" t="inlineStr">
        <is>
          <t xml:space="preserve">double, teen</t>
        </is>
      </c>
      <c r="J190" t="n">
        <v>0</v>
      </c>
      <c r="L190" t="n">
        <v>14</v>
      </c>
      <c r="M190" t="n">
        <v>5</v>
      </c>
      <c r="N190" t="n">
        <v>5</v>
      </c>
      <c r="O190" t="inlineStr">
        <is>
          <t xml:space="preserve">made_to_order</t>
        </is>
      </c>
      <c r="P190" t="inlineStr">
        <is>
          <t xml:space="preserve">width:80 · height:25 · depth:25</t>
        </is>
      </c>
      <c r="R190" t="inlineStr">
        <is>
          <t xml:space="preserve">شلف دیواری (براکت)</t>
        </is>
      </c>
      <c r="X190" t="n">
        <v>0</v>
      </c>
    </row>
    <row r="191" ht="48" customHeight="1">
      <c r="B191" t="n">
        <v>389</v>
      </c>
      <c r="C191" t="inlineStr">
        <is>
          <t xml:space="preserve">draft</t>
        </is>
      </c>
      <c r="D191" t="inlineStr">
        <is>
          <t xml:space="preserve">الیزا</t>
        </is>
      </c>
      <c r="F191" t="inlineStr">
        <is>
          <t xml:space="preserve">میز آرایش الیزا</t>
        </is>
      </c>
      <c r="G191" t="inlineStr">
        <is>
          <t xml:space="preserve">eliza-vanity</t>
        </is>
      </c>
      <c r="H191" t="inlineStr">
        <is>
          <t xml:space="preserve">eliza-vanity</t>
        </is>
      </c>
      <c r="I191" t="inlineStr">
        <is>
          <t xml:space="preserve">double, teen</t>
        </is>
      </c>
      <c r="J191" t="n">
        <v>0</v>
      </c>
      <c r="L191" t="n">
        <v>14</v>
      </c>
      <c r="M191" t="n">
        <v>5</v>
      </c>
      <c r="N191" t="n">
        <v>5</v>
      </c>
      <c r="O191" t="inlineStr">
        <is>
          <t xml:space="preserve">made_to_order</t>
        </is>
      </c>
      <c r="P191" t="inlineStr">
        <is>
          <t xml:space="preserve">width:100 · height:78 · depth:45</t>
        </is>
      </c>
      <c r="R191" t="inlineStr">
        <is>
          <t xml:space="preserve">میز آرایش</t>
        </is>
      </c>
      <c r="X191" t="n">
        <v>0</v>
      </c>
    </row>
    <row r="192" ht="48" customHeight="1">
      <c r="B192" t="n">
        <v>388</v>
      </c>
      <c r="C192" t="inlineStr">
        <is>
          <t xml:space="preserve">draft</t>
        </is>
      </c>
      <c r="D192" t="inlineStr">
        <is>
          <t xml:space="preserve">الیزا</t>
        </is>
      </c>
      <c r="F192" t="inlineStr">
        <is>
          <t xml:space="preserve">آینه رومیزی الیزا</t>
        </is>
      </c>
      <c r="G192" t="inlineStr">
        <is>
          <t xml:space="preserve">eliza-table-mirror</t>
        </is>
      </c>
      <c r="H192" t="inlineStr">
        <is>
          <t xml:space="preserve">eliza-table-mirror</t>
        </is>
      </c>
      <c r="I192" t="inlineStr">
        <is>
          <t xml:space="preserve">double, teen</t>
        </is>
      </c>
      <c r="J192" t="n">
        <v>0</v>
      </c>
      <c r="L192" t="n">
        <v>14</v>
      </c>
      <c r="M192" t="n">
        <v>5</v>
      </c>
      <c r="N192" t="n">
        <v>5</v>
      </c>
      <c r="O192" t="inlineStr">
        <is>
          <t xml:space="preserve">made_to_order</t>
        </is>
      </c>
      <c r="P192" t="inlineStr">
        <is>
          <t xml:space="preserve">width:60 · height:70 · depth:5</t>
        </is>
      </c>
      <c r="R192" t="inlineStr">
        <is>
          <t xml:space="preserve">آینه رومیزی</t>
        </is>
      </c>
      <c r="X192" t="n">
        <v>0</v>
      </c>
    </row>
    <row r="193" ht="48" customHeight="1">
      <c r="B193" t="n">
        <v>387</v>
      </c>
      <c r="C193" t="inlineStr">
        <is>
          <t xml:space="preserve">draft</t>
        </is>
      </c>
      <c r="D193" t="inlineStr">
        <is>
          <t xml:space="preserve">الیزا</t>
        </is>
      </c>
      <c r="F193" t="inlineStr">
        <is>
          <t xml:space="preserve">میز تحریر الیزا</t>
        </is>
      </c>
      <c r="G193" t="inlineStr">
        <is>
          <t xml:space="preserve">eliza-study-desk</t>
        </is>
      </c>
      <c r="H193" t="inlineStr">
        <is>
          <t xml:space="preserve">eliza-study-desk</t>
        </is>
      </c>
      <c r="I193" t="inlineStr">
        <is>
          <t xml:space="preserve">double, teen</t>
        </is>
      </c>
      <c r="J193" t="n">
        <v>0</v>
      </c>
      <c r="L193" t="n">
        <v>14</v>
      </c>
      <c r="M193" t="n">
        <v>5</v>
      </c>
      <c r="N193" t="n">
        <v>5</v>
      </c>
      <c r="O193" t="inlineStr">
        <is>
          <t xml:space="preserve">made_to_order</t>
        </is>
      </c>
      <c r="P193" t="inlineStr">
        <is>
          <t xml:space="preserve">width:120 · height:75 · depth:60</t>
        </is>
      </c>
      <c r="R193" t="inlineStr">
        <is>
          <t xml:space="preserve">میز تحریر</t>
        </is>
      </c>
      <c r="X193" t="n">
        <v>0</v>
      </c>
    </row>
    <row r="194" ht="48" customHeight="1">
      <c r="B194" t="n">
        <v>386</v>
      </c>
      <c r="C194" t="inlineStr">
        <is>
          <t xml:space="preserve">draft</t>
        </is>
      </c>
      <c r="D194" t="inlineStr">
        <is>
          <t xml:space="preserve">الیزا</t>
        </is>
      </c>
      <c r="F194" t="inlineStr">
        <is>
          <t xml:space="preserve">آینه قدی الیزا</t>
        </is>
      </c>
      <c r="G194" t="inlineStr">
        <is>
          <t xml:space="preserve">eliza-standing-mirror</t>
        </is>
      </c>
      <c r="H194" t="inlineStr">
        <is>
          <t xml:space="preserve">eliza-standing-mirror</t>
        </is>
      </c>
      <c r="I194" t="inlineStr">
        <is>
          <t xml:space="preserve">double, teen</t>
        </is>
      </c>
      <c r="J194" t="n">
        <v>0</v>
      </c>
      <c r="L194" t="n">
        <v>14</v>
      </c>
      <c r="M194" t="n">
        <v>5</v>
      </c>
      <c r="N194" t="n">
        <v>5</v>
      </c>
      <c r="O194" t="inlineStr">
        <is>
          <t xml:space="preserve">made_to_order</t>
        </is>
      </c>
      <c r="P194" t="inlineStr">
        <is>
          <t xml:space="preserve">width:60 · height:180 · depth:5</t>
        </is>
      </c>
      <c r="R194" t="inlineStr">
        <is>
          <t xml:space="preserve">آینه قدی</t>
        </is>
      </c>
      <c r="X194" t="n">
        <v>0</v>
      </c>
    </row>
    <row r="195" ht="48" customHeight="1">
      <c r="B195" t="n">
        <v>385</v>
      </c>
      <c r="C195" t="inlineStr">
        <is>
          <t xml:space="preserve">draft</t>
        </is>
      </c>
      <c r="D195" t="inlineStr">
        <is>
          <t xml:space="preserve">الیزا</t>
        </is>
      </c>
      <c r="F195" t="inlineStr">
        <is>
          <t xml:space="preserve">تخت یک نفره الیزا</t>
        </is>
      </c>
      <c r="G195" t="inlineStr">
        <is>
          <t xml:space="preserve">eliza-single-bed</t>
        </is>
      </c>
      <c r="H195" t="inlineStr">
        <is>
          <t xml:space="preserve">eliza-single-bed</t>
        </is>
      </c>
      <c r="I195" t="inlineStr">
        <is>
          <t xml:space="preserve">double, teen</t>
        </is>
      </c>
      <c r="J195" t="n">
        <v>0</v>
      </c>
      <c r="L195" t="n">
        <v>14</v>
      </c>
      <c r="M195" t="n">
        <v>5</v>
      </c>
      <c r="N195" t="n">
        <v>5</v>
      </c>
      <c r="O195" t="inlineStr">
        <is>
          <t xml:space="preserve">made_to_order</t>
        </is>
      </c>
      <c r="P195" t="inlineStr">
        <is>
          <t xml:space="preserve">width:100 · height:110 · depth:210</t>
        </is>
      </c>
      <c r="R195" t="inlineStr">
        <is>
          <t xml:space="preserve">تخت یک نفره</t>
        </is>
      </c>
      <c r="X195" t="n">
        <v>0</v>
      </c>
    </row>
    <row r="196" ht="48" customHeight="1">
      <c r="B196" t="n">
        <v>384</v>
      </c>
      <c r="C196" t="inlineStr">
        <is>
          <t xml:space="preserve">draft</t>
        </is>
      </c>
      <c r="D196" t="inlineStr">
        <is>
          <t xml:space="preserve">الیزا</t>
        </is>
      </c>
      <c r="F196" t="inlineStr">
        <is>
          <t xml:space="preserve">پاتختی الیزا</t>
        </is>
      </c>
      <c r="G196" t="inlineStr">
        <is>
          <t xml:space="preserve">eliza-nightstand</t>
        </is>
      </c>
      <c r="H196" t="inlineStr">
        <is>
          <t xml:space="preserve">eliza-nightstand</t>
        </is>
      </c>
      <c r="I196" t="inlineStr">
        <is>
          <t xml:space="preserve">double, teen</t>
        </is>
      </c>
      <c r="J196" t="n">
        <v>0</v>
      </c>
      <c r="L196" t="n">
        <v>14</v>
      </c>
      <c r="M196" t="n">
        <v>5</v>
      </c>
      <c r="N196" t="n">
        <v>5</v>
      </c>
      <c r="O196" t="inlineStr">
        <is>
          <t xml:space="preserve">made_to_order</t>
        </is>
      </c>
      <c r="P196" t="inlineStr">
        <is>
          <t xml:space="preserve">width:50 · height:55 · depth:40</t>
        </is>
      </c>
      <c r="R196" t="inlineStr">
        <is>
          <t xml:space="preserve">پاتختی</t>
        </is>
      </c>
      <c r="X196" t="n">
        <v>0</v>
      </c>
    </row>
    <row r="197" ht="48" customHeight="1">
      <c r="B197" t="n">
        <v>383</v>
      </c>
      <c r="C197" t="inlineStr">
        <is>
          <t xml:space="preserve">draft</t>
        </is>
      </c>
      <c r="D197" t="inlineStr">
        <is>
          <t xml:space="preserve">الیزا</t>
        </is>
      </c>
      <c r="F197" t="inlineStr">
        <is>
          <t xml:space="preserve">تخت دونفره الیزا</t>
        </is>
      </c>
      <c r="G197" t="inlineStr">
        <is>
          <t xml:space="preserve">eliza-double-bed</t>
        </is>
      </c>
      <c r="H197" t="inlineStr">
        <is>
          <t xml:space="preserve">eliza-double-bed</t>
        </is>
      </c>
      <c r="I197" t="inlineStr">
        <is>
          <t xml:space="preserve">double, teen</t>
        </is>
      </c>
      <c r="J197" t="n">
        <v>0</v>
      </c>
      <c r="L197" t="n">
        <v>14</v>
      </c>
      <c r="M197" t="n">
        <v>5</v>
      </c>
      <c r="N197" t="n">
        <v>5</v>
      </c>
      <c r="O197" t="inlineStr">
        <is>
          <t xml:space="preserve">made_to_order</t>
        </is>
      </c>
      <c r="P197" t="inlineStr">
        <is>
          <t xml:space="preserve">width:160 · height:110 · depth:215</t>
        </is>
      </c>
      <c r="R197" t="inlineStr">
        <is>
          <t xml:space="preserve">تخت دونفره</t>
        </is>
      </c>
      <c r="X197" t="n">
        <v>0</v>
      </c>
    </row>
    <row r="198" ht="48" customHeight="1">
      <c r="B198" t="n">
        <v>382</v>
      </c>
      <c r="C198" t="inlineStr">
        <is>
          <t xml:space="preserve">draft</t>
        </is>
      </c>
      <c r="D198" t="inlineStr">
        <is>
          <t xml:space="preserve">الیزا</t>
        </is>
      </c>
      <c r="F198" t="inlineStr">
        <is>
          <t xml:space="preserve">کتابخانه الیزا</t>
        </is>
      </c>
      <c r="G198" t="inlineStr">
        <is>
          <t xml:space="preserve">eliza-bookcase</t>
        </is>
      </c>
      <c r="H198" t="inlineStr">
        <is>
          <t xml:space="preserve">eliza-bookcase</t>
        </is>
      </c>
      <c r="I198" t="inlineStr">
        <is>
          <t xml:space="preserve">double, teen</t>
        </is>
      </c>
      <c r="J198" t="n">
        <v>0</v>
      </c>
      <c r="L198" t="n">
        <v>14</v>
      </c>
      <c r="M198" t="n">
        <v>5</v>
      </c>
      <c r="N198" t="n">
        <v>5</v>
      </c>
      <c r="O198" t="inlineStr">
        <is>
          <t xml:space="preserve">made_to_order</t>
        </is>
      </c>
      <c r="P198" t="inlineStr">
        <is>
          <t xml:space="preserve">width:80 · height:200 · depth:35</t>
        </is>
      </c>
      <c r="R198" t="inlineStr">
        <is>
          <t xml:space="preserve">کتابخانه</t>
        </is>
      </c>
      <c r="X198" t="n">
        <v>0</v>
      </c>
    </row>
    <row r="199" ht="48" customHeight="1">
      <c r="A199">
        <f>IMAGE("http://80.240.31.146:3000/_next/image?url=%2Fapi%2Fmedia%2Ffile%2Felegance-wardrobe-2-doors-mdf.webp&amp;w=256&amp;q=75",4,60,80)</f>
      </c>
      <c r="B199" t="n">
        <v>381</v>
      </c>
      <c r="C199" t="inlineStr">
        <is>
          <t xml:space="preserve">published</t>
        </is>
      </c>
      <c r="D199" t="inlineStr">
        <is>
          <t xml:space="preserve">الگانس</t>
        </is>
      </c>
      <c r="F199" t="inlineStr">
        <is>
          <t xml:space="preserve">کمد الگانس</t>
        </is>
      </c>
      <c r="G199" t="inlineStr">
        <is>
          <t xml:space="preserve">elegance-wardrobe</t>
        </is>
      </c>
      <c r="H199" t="inlineStr">
        <is>
          <t xml:space="preserve">elegance-wardrobe</t>
        </is>
      </c>
      <c r="I199" t="inlineStr">
        <is>
          <t xml:space="preserve">teen</t>
        </is>
      </c>
      <c r="J199" t="n">
        <v>808130000</v>
      </c>
      <c r="L199" t="n">
        <v>14</v>
      </c>
      <c r="M199" t="n">
        <v>5</v>
      </c>
      <c r="N199" t="n">
        <v>5</v>
      </c>
      <c r="O199" t="inlineStr">
        <is>
          <t xml:space="preserve">in_stock</t>
        </is>
      </c>
      <c r="P199" t="inlineStr">
        <is>
          <t xml:space="preserve">width:120 · height:220 · depth:60</t>
        </is>
      </c>
      <c r="R199" t="inlineStr">
        <is>
          <t xml:space="preserve">کمد</t>
        </is>
      </c>
      <c r="X199" t="n">
        <v>2</v>
      </c>
      <c r="Y199" t="inlineStr">
        <is>
          <t xml:space="preserve">elegance-wardrobe-2-doors-mdf.webp; elegance-wardrobe-3-doors-mdf.webp</t>
        </is>
      </c>
      <c r="Z199" t="inlineStr">
        <is>
          <t xml:space="preserve">http://80.240.31.146:3000/api/media/file/elegance-wardrobe-2-doors-mdf.webp; http://80.240.31.146:3000/api/media/file/elegance-wardrobe-3-doors-mdf.webp</t>
        </is>
      </c>
    </row>
    <row r="200" ht="48" customHeight="1">
      <c r="B200" t="n">
        <v>380</v>
      </c>
      <c r="C200" t="inlineStr">
        <is>
          <t xml:space="preserve">draft</t>
        </is>
      </c>
      <c r="D200" t="inlineStr">
        <is>
          <t xml:space="preserve">الگانس</t>
        </is>
      </c>
      <c r="F200" t="inlineStr">
        <is>
          <t xml:space="preserve">آینه دیواری الگانس</t>
        </is>
      </c>
      <c r="G200" t="inlineStr">
        <is>
          <t xml:space="preserve">elegance-wall-mirror</t>
        </is>
      </c>
      <c r="H200" t="inlineStr">
        <is>
          <t xml:space="preserve">elegance-wall-mirror</t>
        </is>
      </c>
      <c r="I200" t="inlineStr">
        <is>
          <t xml:space="preserve">teen</t>
        </is>
      </c>
      <c r="J200" t="n">
        <v>258080000</v>
      </c>
      <c r="L200" t="n">
        <v>14</v>
      </c>
      <c r="M200" t="n">
        <v>5</v>
      </c>
      <c r="N200" t="n">
        <v>5</v>
      </c>
      <c r="O200" t="inlineStr">
        <is>
          <t xml:space="preserve">in_stock</t>
        </is>
      </c>
      <c r="P200" t="inlineStr">
        <is>
          <t xml:space="preserve">width:80 · height:100 · depth:5</t>
        </is>
      </c>
      <c r="R200" t="inlineStr">
        <is>
          <t xml:space="preserve">آینه دیواری</t>
        </is>
      </c>
      <c r="X200" t="n">
        <v>0</v>
      </c>
    </row>
    <row r="201" ht="48" customHeight="1">
      <c r="A201">
        <f>IMAGE("http://80.240.31.146:3000/_next/image?url=%2Fapi%2Fmedia%2Ffile%2Felegance-vanity-4-drawers.webp&amp;w=256&amp;q=75",4,60,80)</f>
      </c>
      <c r="B201" t="n">
        <v>379</v>
      </c>
      <c r="C201" t="inlineStr">
        <is>
          <t xml:space="preserve">draft</t>
        </is>
      </c>
      <c r="D201" t="inlineStr">
        <is>
          <t xml:space="preserve">الگانس</t>
        </is>
      </c>
      <c r="F201" t="inlineStr">
        <is>
          <t xml:space="preserve">میز آرایش الگانس</t>
        </is>
      </c>
      <c r="G201" t="inlineStr">
        <is>
          <t xml:space="preserve">elegance-vanity</t>
        </is>
      </c>
      <c r="H201" t="inlineStr">
        <is>
          <t xml:space="preserve">elegance-vanity</t>
        </is>
      </c>
      <c r="I201" t="inlineStr">
        <is>
          <t xml:space="preserve">teen</t>
        </is>
      </c>
      <c r="J201" t="n">
        <v>0</v>
      </c>
      <c r="L201" t="n">
        <v>14</v>
      </c>
      <c r="M201" t="n">
        <v>5</v>
      </c>
      <c r="N201" t="n">
        <v>5</v>
      </c>
      <c r="O201" t="inlineStr">
        <is>
          <t xml:space="preserve">made_to_order</t>
        </is>
      </c>
      <c r="P201" t="inlineStr">
        <is>
          <t xml:space="preserve">width:100 · height:78 · depth:45</t>
        </is>
      </c>
      <c r="R201" t="inlineStr">
        <is>
          <t xml:space="preserve">میز آرایش</t>
        </is>
      </c>
      <c r="X201" t="n">
        <v>1</v>
      </c>
      <c r="Y201" t="inlineStr">
        <is>
          <t xml:space="preserve">elegance-vanity-4-drawers.webp</t>
        </is>
      </c>
      <c r="Z201" t="inlineStr">
        <is>
          <t xml:space="preserve">http://80.240.31.146:3000/api/media/file/elegance-vanity-4-drawers.webp</t>
        </is>
      </c>
    </row>
    <row r="202" ht="48" customHeight="1">
      <c r="B202" t="n">
        <v>378</v>
      </c>
      <c r="C202" t="inlineStr">
        <is>
          <t xml:space="preserve">draft</t>
        </is>
      </c>
      <c r="D202" t="inlineStr">
        <is>
          <t xml:space="preserve">الگانس</t>
        </is>
      </c>
      <c r="F202" t="inlineStr">
        <is>
          <t xml:space="preserve">آینه رومیزی الگانس</t>
        </is>
      </c>
      <c r="G202" t="inlineStr">
        <is>
          <t xml:space="preserve">elegance-table-mirror</t>
        </is>
      </c>
      <c r="H202" t="inlineStr">
        <is>
          <t xml:space="preserve">elegance-table-mirror</t>
        </is>
      </c>
      <c r="I202" t="inlineStr">
        <is>
          <t xml:space="preserve">teen</t>
        </is>
      </c>
      <c r="J202" t="n">
        <v>209900000</v>
      </c>
      <c r="L202" t="n">
        <v>14</v>
      </c>
      <c r="M202" t="n">
        <v>5</v>
      </c>
      <c r="N202" t="n">
        <v>5</v>
      </c>
      <c r="O202" t="inlineStr">
        <is>
          <t xml:space="preserve">in_stock</t>
        </is>
      </c>
      <c r="P202" t="inlineStr">
        <is>
          <t xml:space="preserve">width:60 · height:70 · depth:5</t>
        </is>
      </c>
      <c r="R202" t="inlineStr">
        <is>
          <t xml:space="preserve">آینه رومیزی</t>
        </is>
      </c>
      <c r="X202" t="n">
        <v>0</v>
      </c>
    </row>
    <row r="203" ht="48" customHeight="1">
      <c r="A203">
        <f>IMAGE("http://80.240.31.146:3000/_next/image?url=%2Fapi%2Fmedia%2Ffile%2Felegance-study-desk-v2.webp&amp;w=256&amp;q=75",4,60,80)</f>
      </c>
      <c r="B203" t="n">
        <v>377</v>
      </c>
      <c r="C203" t="inlineStr">
        <is>
          <t xml:space="preserve">published</t>
        </is>
      </c>
      <c r="D203" t="inlineStr">
        <is>
          <t xml:space="preserve">الگانس</t>
        </is>
      </c>
      <c r="F203" t="inlineStr">
        <is>
          <t xml:space="preserve">میز تحریر الگانس</t>
        </is>
      </c>
      <c r="G203" t="inlineStr">
        <is>
          <t xml:space="preserve">elegance-study-desk</t>
        </is>
      </c>
      <c r="H203" t="inlineStr">
        <is>
          <t xml:space="preserve">elegance-study-desk</t>
        </is>
      </c>
      <c r="I203" t="inlineStr">
        <is>
          <t xml:space="preserve">teen</t>
        </is>
      </c>
      <c r="J203" t="n">
        <v>445680000</v>
      </c>
      <c r="L203" t="n">
        <v>14</v>
      </c>
      <c r="M203" t="n">
        <v>5</v>
      </c>
      <c r="N203" t="n">
        <v>5</v>
      </c>
      <c r="O203" t="inlineStr">
        <is>
          <t xml:space="preserve">in_stock</t>
        </is>
      </c>
      <c r="P203" t="inlineStr">
        <is>
          <t xml:space="preserve">width:120 · height:75 · depth:60</t>
        </is>
      </c>
      <c r="R203" t="inlineStr">
        <is>
          <t xml:space="preserve">میز تحریر</t>
        </is>
      </c>
      <c r="X203" t="n">
        <v>2</v>
      </c>
      <c r="Y203" t="inlineStr">
        <is>
          <t xml:space="preserve">elegance-study-desk-v2.webp; elegance-study-desk.webp</t>
        </is>
      </c>
      <c r="Z203" t="inlineStr">
        <is>
          <t xml:space="preserve">http://80.240.31.146:3000/api/media/file/elegance-study-desk-v2.webp; http://80.240.31.146:3000/api/media/file/elegance-study-desk.webp</t>
        </is>
      </c>
    </row>
    <row r="204" ht="48" customHeight="1">
      <c r="B204" t="n">
        <v>376</v>
      </c>
      <c r="C204" t="inlineStr">
        <is>
          <t xml:space="preserve">draft</t>
        </is>
      </c>
      <c r="D204" t="inlineStr">
        <is>
          <t xml:space="preserve">الگانس</t>
        </is>
      </c>
      <c r="F204" t="inlineStr">
        <is>
          <t xml:space="preserve">صندلی میز تحریر الگانس</t>
        </is>
      </c>
      <c r="G204" t="inlineStr">
        <is>
          <t xml:space="preserve">elegance-study-chair</t>
        </is>
      </c>
      <c r="H204" t="inlineStr">
        <is>
          <t xml:space="preserve">elegance-study-chair</t>
        </is>
      </c>
      <c r="I204" t="inlineStr">
        <is>
          <t xml:space="preserve">teen</t>
        </is>
      </c>
      <c r="J204" t="n">
        <v>240710000</v>
      </c>
      <c r="L204" t="n">
        <v>14</v>
      </c>
      <c r="M204" t="n">
        <v>5</v>
      </c>
      <c r="N204" t="n">
        <v>5</v>
      </c>
      <c r="O204" t="inlineStr">
        <is>
          <t xml:space="preserve">in_stock</t>
        </is>
      </c>
      <c r="P204" t="inlineStr">
        <is>
          <t xml:space="preserve">width:50 · height:85 · depth:50</t>
        </is>
      </c>
      <c r="R204" t="inlineStr">
        <is>
          <t xml:space="preserve">صندلی میز تحریر</t>
        </is>
      </c>
      <c r="X204" t="n">
        <v>0</v>
      </c>
    </row>
    <row r="205" ht="48" customHeight="1">
      <c r="A205">
        <f>IMAGE("http://80.240.31.146:3000/_next/image?url=%2Fapi%2Fmedia%2Ffile%2Felegance-standing-mirror.webp&amp;w=256&amp;q=75",4,60,80)</f>
      </c>
      <c r="B205" t="n">
        <v>375</v>
      </c>
      <c r="C205" t="inlineStr">
        <is>
          <t xml:space="preserve">published</t>
        </is>
      </c>
      <c r="D205" t="inlineStr">
        <is>
          <t xml:space="preserve">الگانس</t>
        </is>
      </c>
      <c r="F205" t="inlineStr">
        <is>
          <t xml:space="preserve">آینه قدی الگانس</t>
        </is>
      </c>
      <c r="G205" t="inlineStr">
        <is>
          <t xml:space="preserve">elegance-standing-mirror</t>
        </is>
      </c>
      <c r="H205" t="inlineStr">
        <is>
          <t xml:space="preserve">elegance-standing-mirror</t>
        </is>
      </c>
      <c r="I205" t="inlineStr">
        <is>
          <t xml:space="preserve">teen</t>
        </is>
      </c>
      <c r="J205" t="n">
        <v>403290000</v>
      </c>
      <c r="L205" t="n">
        <v>14</v>
      </c>
      <c r="M205" t="n">
        <v>5</v>
      </c>
      <c r="N205" t="n">
        <v>5</v>
      </c>
      <c r="O205" t="inlineStr">
        <is>
          <t xml:space="preserve">in_stock</t>
        </is>
      </c>
      <c r="P205" t="inlineStr">
        <is>
          <t xml:space="preserve">width:60 · height:180 · depth:5</t>
        </is>
      </c>
      <c r="R205" t="inlineStr">
        <is>
          <t xml:space="preserve">آینه قدی</t>
        </is>
      </c>
      <c r="X205" t="n">
        <v>1</v>
      </c>
      <c r="Y205" t="inlineStr">
        <is>
          <t xml:space="preserve">elegance-standing-mirror.webp</t>
        </is>
      </c>
      <c r="Z205" t="inlineStr">
        <is>
          <t xml:space="preserve">http://80.240.31.146:3000/api/media/file/elegance-standing-mirror.webp</t>
        </is>
      </c>
    </row>
    <row r="206" ht="48" customHeight="1">
      <c r="A206">
        <f>IMAGE("http://80.240.31.146:3000/_next/image?url=%2Fapi%2Fmedia%2Ffile%2Felegance-single-bed-100.webp&amp;w=256&amp;q=75",4,60,80)</f>
      </c>
      <c r="B206" t="n">
        <v>374</v>
      </c>
      <c r="C206" t="inlineStr">
        <is>
          <t xml:space="preserve">published</t>
        </is>
      </c>
      <c r="D206" t="inlineStr">
        <is>
          <t xml:space="preserve">الگانس</t>
        </is>
      </c>
      <c r="F206" t="inlineStr">
        <is>
          <t xml:space="preserve">تخت یک نفره الگانس</t>
        </is>
      </c>
      <c r="G206" t="inlineStr">
        <is>
          <t xml:space="preserve">elegance-single-bed</t>
        </is>
      </c>
      <c r="H206" t="inlineStr">
        <is>
          <t xml:space="preserve">elegance-single-bed</t>
        </is>
      </c>
      <c r="I206" t="inlineStr">
        <is>
          <t xml:space="preserve">teen</t>
        </is>
      </c>
      <c r="J206" t="n">
        <v>462690000</v>
      </c>
      <c r="L206" t="n">
        <v>14</v>
      </c>
      <c r="M206" t="n">
        <v>5</v>
      </c>
      <c r="N206" t="n">
        <v>5</v>
      </c>
      <c r="O206" t="inlineStr">
        <is>
          <t xml:space="preserve">in_stock</t>
        </is>
      </c>
      <c r="P206" t="inlineStr">
        <is>
          <t xml:space="preserve">width:100 · height:110 · depth:210</t>
        </is>
      </c>
      <c r="R206" t="inlineStr">
        <is>
          <t xml:space="preserve">تخت یک نفره</t>
        </is>
      </c>
      <c r="X206" t="n">
        <v>1</v>
      </c>
      <c r="Y206" t="inlineStr">
        <is>
          <t xml:space="preserve">elegance-single-bed-100.webp</t>
        </is>
      </c>
      <c r="Z206" t="inlineStr">
        <is>
          <t xml:space="preserve">http://80.240.31.146:3000/api/media/file/elegance-single-bed-100.webp</t>
        </is>
      </c>
    </row>
    <row r="207" ht="48" customHeight="1">
      <c r="A207">
        <f>IMAGE("http://80.240.31.146:3000/_next/image?url=%2Fapi%2Fmedia%2Ffile%2Felegance-nightstand-v2.webp&amp;w=256&amp;q=75",4,60,80)</f>
      </c>
      <c r="B207" t="n">
        <v>373</v>
      </c>
      <c r="C207" t="inlineStr">
        <is>
          <t xml:space="preserve">published</t>
        </is>
      </c>
      <c r="D207" t="inlineStr">
        <is>
          <t xml:space="preserve">الگانس</t>
        </is>
      </c>
      <c r="F207" t="inlineStr">
        <is>
          <t xml:space="preserve">پاتختی الگانس</t>
        </is>
      </c>
      <c r="G207" t="inlineStr">
        <is>
          <t xml:space="preserve">elegance-nightstand</t>
        </is>
      </c>
      <c r="H207" t="inlineStr">
        <is>
          <t xml:space="preserve">elegance-nightstand</t>
        </is>
      </c>
      <c r="I207" t="inlineStr">
        <is>
          <t xml:space="preserve">teen</t>
        </is>
      </c>
      <c r="J207" t="n">
        <v>193150000</v>
      </c>
      <c r="L207" t="n">
        <v>14</v>
      </c>
      <c r="M207" t="n">
        <v>5</v>
      </c>
      <c r="N207" t="n">
        <v>5</v>
      </c>
      <c r="O207" t="inlineStr">
        <is>
          <t xml:space="preserve">in_stock</t>
        </is>
      </c>
      <c r="P207" t="inlineStr">
        <is>
          <t xml:space="preserve">width:50 · height:55 · depth:40</t>
        </is>
      </c>
      <c r="R207" t="inlineStr">
        <is>
          <t xml:space="preserve">پاتختی</t>
        </is>
      </c>
      <c r="X207" t="n">
        <v>2</v>
      </c>
      <c r="Y207" t="inlineStr">
        <is>
          <t xml:space="preserve">elegance-nightstand-v2.webp; elegance-nightstand.webp</t>
        </is>
      </c>
      <c r="Z207" t="inlineStr">
        <is>
          <t xml:space="preserve">http://80.240.31.146:3000/api/media/file/elegance-nightstand-v2.webp; http://80.240.31.146:3000/api/media/file/elegance-nightstand.webp</t>
        </is>
      </c>
    </row>
    <row r="208" ht="48" customHeight="1">
      <c r="B208" t="n">
        <v>372</v>
      </c>
      <c r="C208" t="inlineStr">
        <is>
          <t xml:space="preserve">draft</t>
        </is>
      </c>
      <c r="D208" t="inlineStr">
        <is>
          <t xml:space="preserve">الگانس</t>
        </is>
      </c>
      <c r="F208" t="inlineStr">
        <is>
          <t xml:space="preserve">کنسول الگانس</t>
        </is>
      </c>
      <c r="G208" t="inlineStr">
        <is>
          <t xml:space="preserve">elegance-console</t>
        </is>
      </c>
      <c r="H208" t="inlineStr">
        <is>
          <t xml:space="preserve">elegance-console</t>
        </is>
      </c>
      <c r="I208" t="inlineStr">
        <is>
          <t xml:space="preserve">teen</t>
        </is>
      </c>
      <c r="J208" t="n">
        <v>311030000</v>
      </c>
      <c r="L208" t="n">
        <v>14</v>
      </c>
      <c r="M208" t="n">
        <v>5</v>
      </c>
      <c r="N208" t="n">
        <v>5</v>
      </c>
      <c r="O208" t="inlineStr">
        <is>
          <t xml:space="preserve">in_stock</t>
        </is>
      </c>
      <c r="P208" t="inlineStr">
        <is>
          <t xml:space="preserve">width:110 · height:80 · depth:35</t>
        </is>
      </c>
      <c r="R208" t="inlineStr">
        <is>
          <t xml:space="preserve">کنسول</t>
        </is>
      </c>
      <c r="X208" t="n">
        <v>0</v>
      </c>
    </row>
    <row r="209" ht="48" customHeight="1">
      <c r="A209">
        <f>IMAGE("http://80.240.31.146:3000/_next/image?url=%2Fapi%2Fmedia%2Ffile%2Felegance-bookcase.webp&amp;w=256&amp;q=75",4,60,80)</f>
      </c>
      <c r="B209" t="n">
        <v>371</v>
      </c>
      <c r="C209" t="inlineStr">
        <is>
          <t xml:space="preserve">published</t>
        </is>
      </c>
      <c r="D209" t="inlineStr">
        <is>
          <t xml:space="preserve">الگانس</t>
        </is>
      </c>
      <c r="F209" t="inlineStr">
        <is>
          <t xml:space="preserve">کتابخانه الگانس</t>
        </is>
      </c>
      <c r="G209" t="inlineStr">
        <is>
          <t xml:space="preserve">elegance-bookcase</t>
        </is>
      </c>
      <c r="H209" t="inlineStr">
        <is>
          <t xml:space="preserve">elegance-bookcase</t>
        </is>
      </c>
      <c r="I209" t="inlineStr">
        <is>
          <t xml:space="preserve">teen</t>
        </is>
      </c>
      <c r="J209" t="n">
        <v>577070000</v>
      </c>
      <c r="L209" t="n">
        <v>14</v>
      </c>
      <c r="M209" t="n">
        <v>5</v>
      </c>
      <c r="N209" t="n">
        <v>5</v>
      </c>
      <c r="O209" t="inlineStr">
        <is>
          <t xml:space="preserve">in_stock</t>
        </is>
      </c>
      <c r="P209" t="inlineStr">
        <is>
          <t xml:space="preserve">width:80 · height:200 · depth:35</t>
        </is>
      </c>
      <c r="R209" t="inlineStr">
        <is>
          <t xml:space="preserve">کتابخانه</t>
        </is>
      </c>
      <c r="X209" t="n">
        <v>1</v>
      </c>
      <c r="Y209" t="inlineStr">
        <is>
          <t xml:space="preserve">elegance-bookcase.webp</t>
        </is>
      </c>
      <c r="Z209" t="inlineStr">
        <is>
          <t xml:space="preserve">http://80.240.31.146:3000/api/media/file/elegance-bookcase.webp</t>
        </is>
      </c>
    </row>
    <row r="210" ht="48" customHeight="1">
      <c r="B210" t="n">
        <v>370</v>
      </c>
      <c r="C210" t="inlineStr">
        <is>
          <t xml:space="preserve">draft</t>
        </is>
      </c>
      <c r="D210" t="inlineStr">
        <is>
          <t xml:space="preserve">کلاسیک</t>
        </is>
      </c>
      <c r="F210" t="inlineStr">
        <is>
          <t xml:space="preserve">کمد کلاسیک</t>
        </is>
      </c>
      <c r="G210" t="inlineStr">
        <is>
          <t xml:space="preserve">classic-wardrobe</t>
        </is>
      </c>
      <c r="H210" t="inlineStr">
        <is>
          <t xml:space="preserve">classic-wardrobe</t>
        </is>
      </c>
      <c r="I210" t="inlineStr">
        <is>
          <t xml:space="preserve">double, teen</t>
        </is>
      </c>
      <c r="J210" t="n">
        <v>0</v>
      </c>
      <c r="L210" t="n">
        <v>14</v>
      </c>
      <c r="M210" t="n">
        <v>5</v>
      </c>
      <c r="N210" t="n">
        <v>5</v>
      </c>
      <c r="O210" t="inlineStr">
        <is>
          <t xml:space="preserve">made_to_order</t>
        </is>
      </c>
      <c r="P210" t="inlineStr">
        <is>
          <t xml:space="preserve">width:120 · height:220 · depth:60</t>
        </is>
      </c>
      <c r="R210" t="inlineStr">
        <is>
          <t xml:space="preserve">کمد</t>
        </is>
      </c>
      <c r="X210" t="n">
        <v>0</v>
      </c>
    </row>
    <row r="211" ht="48" customHeight="1">
      <c r="B211" t="n">
        <v>369</v>
      </c>
      <c r="C211" t="inlineStr">
        <is>
          <t xml:space="preserve">draft</t>
        </is>
      </c>
      <c r="D211" t="inlineStr">
        <is>
          <t xml:space="preserve">کلاسیک</t>
        </is>
      </c>
      <c r="F211" t="inlineStr">
        <is>
          <t xml:space="preserve">شلف دیواری کلاسیک</t>
        </is>
      </c>
      <c r="G211" t="inlineStr">
        <is>
          <t xml:space="preserve">classic-wall-shelf</t>
        </is>
      </c>
      <c r="H211" t="inlineStr">
        <is>
          <t xml:space="preserve">classic-wall-shelf</t>
        </is>
      </c>
      <c r="I211" t="inlineStr">
        <is>
          <t xml:space="preserve">double, teen</t>
        </is>
      </c>
      <c r="J211" t="n">
        <v>0</v>
      </c>
      <c r="L211" t="n">
        <v>14</v>
      </c>
      <c r="M211" t="n">
        <v>5</v>
      </c>
      <c r="N211" t="n">
        <v>5</v>
      </c>
      <c r="O211" t="inlineStr">
        <is>
          <t xml:space="preserve">made_to_order</t>
        </is>
      </c>
      <c r="P211" t="inlineStr">
        <is>
          <t xml:space="preserve">width:80 · height:25 · depth:25</t>
        </is>
      </c>
      <c r="R211" t="inlineStr">
        <is>
          <t xml:space="preserve">شلف دیواری (براکت)</t>
        </is>
      </c>
      <c r="X211" t="n">
        <v>0</v>
      </c>
    </row>
    <row r="212" ht="48" customHeight="1">
      <c r="B212" t="n">
        <v>368</v>
      </c>
      <c r="C212" t="inlineStr">
        <is>
          <t xml:space="preserve">draft</t>
        </is>
      </c>
      <c r="D212" t="inlineStr">
        <is>
          <t xml:space="preserve">کلاسیک</t>
        </is>
      </c>
      <c r="F212" t="inlineStr">
        <is>
          <t xml:space="preserve">میز آرایش کلاسیک</t>
        </is>
      </c>
      <c r="G212" t="inlineStr">
        <is>
          <t xml:space="preserve">classic-vanity</t>
        </is>
      </c>
      <c r="H212" t="inlineStr">
        <is>
          <t xml:space="preserve">classic-vanity</t>
        </is>
      </c>
      <c r="I212" t="inlineStr">
        <is>
          <t xml:space="preserve">double, teen</t>
        </is>
      </c>
      <c r="J212" t="n">
        <v>0</v>
      </c>
      <c r="L212" t="n">
        <v>14</v>
      </c>
      <c r="M212" t="n">
        <v>5</v>
      </c>
      <c r="N212" t="n">
        <v>5</v>
      </c>
      <c r="O212" t="inlineStr">
        <is>
          <t xml:space="preserve">made_to_order</t>
        </is>
      </c>
      <c r="P212" t="inlineStr">
        <is>
          <t xml:space="preserve">width:100 · height:78 · depth:45</t>
        </is>
      </c>
      <c r="R212" t="inlineStr">
        <is>
          <t xml:space="preserve">میز آرایش</t>
        </is>
      </c>
      <c r="X212" t="n">
        <v>0</v>
      </c>
    </row>
    <row r="213" ht="48" customHeight="1">
      <c r="B213" t="n">
        <v>367</v>
      </c>
      <c r="C213" t="inlineStr">
        <is>
          <t xml:space="preserve">draft</t>
        </is>
      </c>
      <c r="D213" t="inlineStr">
        <is>
          <t xml:space="preserve">کلاسیک</t>
        </is>
      </c>
      <c r="F213" t="inlineStr">
        <is>
          <t xml:space="preserve">آینه رومیزی کلاسیک</t>
        </is>
      </c>
      <c r="G213" t="inlineStr">
        <is>
          <t xml:space="preserve">classic-table-mirror</t>
        </is>
      </c>
      <c r="H213" t="inlineStr">
        <is>
          <t xml:space="preserve">classic-table-mirror</t>
        </is>
      </c>
      <c r="I213" t="inlineStr">
        <is>
          <t xml:space="preserve">double, teen</t>
        </is>
      </c>
      <c r="J213" t="n">
        <v>0</v>
      </c>
      <c r="L213" t="n">
        <v>14</v>
      </c>
      <c r="M213" t="n">
        <v>5</v>
      </c>
      <c r="N213" t="n">
        <v>5</v>
      </c>
      <c r="O213" t="inlineStr">
        <is>
          <t xml:space="preserve">made_to_order</t>
        </is>
      </c>
      <c r="P213" t="inlineStr">
        <is>
          <t xml:space="preserve">width:60 · height:70 · depth:5</t>
        </is>
      </c>
      <c r="R213" t="inlineStr">
        <is>
          <t xml:space="preserve">آینه رومیزی</t>
        </is>
      </c>
      <c r="X213" t="n">
        <v>0</v>
      </c>
    </row>
    <row r="214" ht="48" customHeight="1">
      <c r="B214" t="n">
        <v>366</v>
      </c>
      <c r="C214" t="inlineStr">
        <is>
          <t xml:space="preserve">draft</t>
        </is>
      </c>
      <c r="D214" t="inlineStr">
        <is>
          <t xml:space="preserve">کلاسیک</t>
        </is>
      </c>
      <c r="F214" t="inlineStr">
        <is>
          <t xml:space="preserve">میز تحریر کلاسیک</t>
        </is>
      </c>
      <c r="G214" t="inlineStr">
        <is>
          <t xml:space="preserve">classic-study-desk</t>
        </is>
      </c>
      <c r="H214" t="inlineStr">
        <is>
          <t xml:space="preserve">classic-study-desk</t>
        </is>
      </c>
      <c r="I214" t="inlineStr">
        <is>
          <t xml:space="preserve">double, teen</t>
        </is>
      </c>
      <c r="J214" t="n">
        <v>0</v>
      </c>
      <c r="L214" t="n">
        <v>14</v>
      </c>
      <c r="M214" t="n">
        <v>5</v>
      </c>
      <c r="N214" t="n">
        <v>5</v>
      </c>
      <c r="O214" t="inlineStr">
        <is>
          <t xml:space="preserve">made_to_order</t>
        </is>
      </c>
      <c r="P214" t="inlineStr">
        <is>
          <t xml:space="preserve">width:120 · height:75 · depth:60</t>
        </is>
      </c>
      <c r="R214" t="inlineStr">
        <is>
          <t xml:space="preserve">میز تحریر</t>
        </is>
      </c>
      <c r="X214" t="n">
        <v>0</v>
      </c>
    </row>
    <row r="215" ht="48" customHeight="1">
      <c r="B215" t="n">
        <v>365</v>
      </c>
      <c r="C215" t="inlineStr">
        <is>
          <t xml:space="preserve">draft</t>
        </is>
      </c>
      <c r="D215" t="inlineStr">
        <is>
          <t xml:space="preserve">کلاسیک</t>
        </is>
      </c>
      <c r="F215" t="inlineStr">
        <is>
          <t xml:space="preserve">آینه قدی کلاسیک</t>
        </is>
      </c>
      <c r="G215" t="inlineStr">
        <is>
          <t xml:space="preserve">classic-standing-mirror</t>
        </is>
      </c>
      <c r="H215" t="inlineStr">
        <is>
          <t xml:space="preserve">classic-standing-mirror</t>
        </is>
      </c>
      <c r="I215" t="inlineStr">
        <is>
          <t xml:space="preserve">double, teen</t>
        </is>
      </c>
      <c r="J215" t="n">
        <v>0</v>
      </c>
      <c r="L215" t="n">
        <v>14</v>
      </c>
      <c r="M215" t="n">
        <v>5</v>
      </c>
      <c r="N215" t="n">
        <v>5</v>
      </c>
      <c r="O215" t="inlineStr">
        <is>
          <t xml:space="preserve">made_to_order</t>
        </is>
      </c>
      <c r="P215" t="inlineStr">
        <is>
          <t xml:space="preserve">width:60 · height:180 · depth:5</t>
        </is>
      </c>
      <c r="R215" t="inlineStr">
        <is>
          <t xml:space="preserve">آینه قدی</t>
        </is>
      </c>
      <c r="X215" t="n">
        <v>0</v>
      </c>
    </row>
    <row r="216" ht="48" customHeight="1">
      <c r="B216" t="n">
        <v>364</v>
      </c>
      <c r="C216" t="inlineStr">
        <is>
          <t xml:space="preserve">draft</t>
        </is>
      </c>
      <c r="D216" t="inlineStr">
        <is>
          <t xml:space="preserve">کلاسیک</t>
        </is>
      </c>
      <c r="F216" t="inlineStr">
        <is>
          <t xml:space="preserve">تخت یک نفره کلاسیک</t>
        </is>
      </c>
      <c r="G216" t="inlineStr">
        <is>
          <t xml:space="preserve">classic-single-bed</t>
        </is>
      </c>
      <c r="H216" t="inlineStr">
        <is>
          <t xml:space="preserve">classic-single-bed</t>
        </is>
      </c>
      <c r="I216" t="inlineStr">
        <is>
          <t xml:space="preserve">double, teen</t>
        </is>
      </c>
      <c r="J216" t="n">
        <v>0</v>
      </c>
      <c r="L216" t="n">
        <v>14</v>
      </c>
      <c r="M216" t="n">
        <v>5</v>
      </c>
      <c r="N216" t="n">
        <v>5</v>
      </c>
      <c r="O216" t="inlineStr">
        <is>
          <t xml:space="preserve">made_to_order</t>
        </is>
      </c>
      <c r="P216" t="inlineStr">
        <is>
          <t xml:space="preserve">width:100 · height:110 · depth:210</t>
        </is>
      </c>
      <c r="R216" t="inlineStr">
        <is>
          <t xml:space="preserve">تخت یک نفره</t>
        </is>
      </c>
      <c r="X216" t="n">
        <v>0</v>
      </c>
    </row>
    <row r="217" ht="48" customHeight="1">
      <c r="B217" t="n">
        <v>363</v>
      </c>
      <c r="C217" t="inlineStr">
        <is>
          <t xml:space="preserve">draft</t>
        </is>
      </c>
      <c r="D217" t="inlineStr">
        <is>
          <t xml:space="preserve">کلاسیک</t>
        </is>
      </c>
      <c r="F217" t="inlineStr">
        <is>
          <t xml:space="preserve">پاتختی کلاسیک</t>
        </is>
      </c>
      <c r="G217" t="inlineStr">
        <is>
          <t xml:space="preserve">classic-nightstand</t>
        </is>
      </c>
      <c r="H217" t="inlineStr">
        <is>
          <t xml:space="preserve">classic-nightstand</t>
        </is>
      </c>
      <c r="I217" t="inlineStr">
        <is>
          <t xml:space="preserve">double, teen</t>
        </is>
      </c>
      <c r="J217" t="n">
        <v>0</v>
      </c>
      <c r="L217" t="n">
        <v>14</v>
      </c>
      <c r="M217" t="n">
        <v>5</v>
      </c>
      <c r="N217" t="n">
        <v>5</v>
      </c>
      <c r="O217" t="inlineStr">
        <is>
          <t xml:space="preserve">made_to_order</t>
        </is>
      </c>
      <c r="P217" t="inlineStr">
        <is>
          <t xml:space="preserve">width:50 · height:55 · depth:40</t>
        </is>
      </c>
      <c r="R217" t="inlineStr">
        <is>
          <t xml:space="preserve">پاتختی</t>
        </is>
      </c>
      <c r="X217" t="n">
        <v>0</v>
      </c>
    </row>
    <row r="218" ht="48" customHeight="1">
      <c r="B218" t="n">
        <v>362</v>
      </c>
      <c r="C218" t="inlineStr">
        <is>
          <t xml:space="preserve">draft</t>
        </is>
      </c>
      <c r="D218" t="inlineStr">
        <is>
          <t xml:space="preserve">کلاسیک</t>
        </is>
      </c>
      <c r="F218" t="inlineStr">
        <is>
          <t xml:space="preserve">تخت دونفره کلاسیک</t>
        </is>
      </c>
      <c r="G218" t="inlineStr">
        <is>
          <t xml:space="preserve">classic-double-bed</t>
        </is>
      </c>
      <c r="H218" t="inlineStr">
        <is>
          <t xml:space="preserve">classic-double-bed</t>
        </is>
      </c>
      <c r="I218" t="inlineStr">
        <is>
          <t xml:space="preserve">double, teen</t>
        </is>
      </c>
      <c r="J218" t="n">
        <v>0</v>
      </c>
      <c r="L218" t="n">
        <v>14</v>
      </c>
      <c r="M218" t="n">
        <v>5</v>
      </c>
      <c r="N218" t="n">
        <v>5</v>
      </c>
      <c r="O218" t="inlineStr">
        <is>
          <t xml:space="preserve">made_to_order</t>
        </is>
      </c>
      <c r="P218" t="inlineStr">
        <is>
          <t xml:space="preserve">width:160 · height:110 · depth:215</t>
        </is>
      </c>
      <c r="R218" t="inlineStr">
        <is>
          <t xml:space="preserve">تخت دونفره</t>
        </is>
      </c>
      <c r="X218" t="n">
        <v>0</v>
      </c>
    </row>
    <row r="219" ht="48" customHeight="1">
      <c r="B219" t="n">
        <v>361</v>
      </c>
      <c r="C219" t="inlineStr">
        <is>
          <t xml:space="preserve">draft</t>
        </is>
      </c>
      <c r="D219" t="inlineStr">
        <is>
          <t xml:space="preserve">کلاسیک</t>
        </is>
      </c>
      <c r="F219" t="inlineStr">
        <is>
          <t xml:space="preserve">کتابخانه کلاسیک</t>
        </is>
      </c>
      <c r="G219" t="inlineStr">
        <is>
          <t xml:space="preserve">classic-bookcase</t>
        </is>
      </c>
      <c r="H219" t="inlineStr">
        <is>
          <t xml:space="preserve">classic-bookcase</t>
        </is>
      </c>
      <c r="I219" t="inlineStr">
        <is>
          <t xml:space="preserve">double, teen</t>
        </is>
      </c>
      <c r="J219" t="n">
        <v>0</v>
      </c>
      <c r="L219" t="n">
        <v>14</v>
      </c>
      <c r="M219" t="n">
        <v>5</v>
      </c>
      <c r="N219" t="n">
        <v>5</v>
      </c>
      <c r="O219" t="inlineStr">
        <is>
          <t xml:space="preserve">made_to_order</t>
        </is>
      </c>
      <c r="P219" t="inlineStr">
        <is>
          <t xml:space="preserve">width:80 · height:200 · depth:35</t>
        </is>
      </c>
      <c r="R219" t="inlineStr">
        <is>
          <t xml:space="preserve">کتابخانه</t>
        </is>
      </c>
      <c r="X219" t="n">
        <v>0</v>
      </c>
    </row>
    <row r="220" ht="48" customHeight="1">
      <c r="A220">
        <f>IMAGE("http://80.240.31.146:3000/_next/image?url=%2Fapi%2Fmedia%2Ffile%2Fceline-vanity-chair-picture.webp&amp;w=256&amp;q=75",4,60,80)</f>
      </c>
      <c r="B220" t="n">
        <v>360</v>
      </c>
      <c r="C220" t="inlineStr">
        <is>
          <t xml:space="preserve">published</t>
        </is>
      </c>
      <c r="D220" t="inlineStr">
        <is>
          <t xml:space="preserve">سلین</t>
        </is>
      </c>
      <c r="F220" t="inlineStr">
        <is>
          <t xml:space="preserve">صندلی میز آرایش سلین</t>
        </is>
      </c>
      <c r="G220" t="inlineStr">
        <is>
          <t xml:space="preserve">celine-vanity-chair</t>
        </is>
      </c>
      <c r="H220" t="inlineStr">
        <is>
          <t xml:space="preserve">celine-vanity-chair</t>
        </is>
      </c>
      <c r="I220" t="inlineStr">
        <is>
          <t xml:space="preserve">double</t>
        </is>
      </c>
      <c r="J220" t="n">
        <v>249650000</v>
      </c>
      <c r="L220" t="n">
        <v>14</v>
      </c>
      <c r="M220" t="n">
        <v>5</v>
      </c>
      <c r="N220" t="n">
        <v>5</v>
      </c>
      <c r="O220" t="inlineStr">
        <is>
          <t xml:space="preserve">in_stock</t>
        </is>
      </c>
      <c r="P220" t="inlineStr">
        <is>
          <t xml:space="preserve">width:100 · height:78 · depth:45</t>
        </is>
      </c>
      <c r="R220" t="inlineStr">
        <is>
          <t xml:space="preserve">صندلی میز آرایش</t>
        </is>
      </c>
      <c r="X220" t="n">
        <v>1</v>
      </c>
      <c r="Y220" t="inlineStr">
        <is>
          <t xml:space="preserve">celine-vanity-chair-picture.webp</t>
        </is>
      </c>
      <c r="Z220" t="inlineStr">
        <is>
          <t xml:space="preserve">http://80.240.31.146:3000/api/media/file/celine-vanity-chair-picture.webp</t>
        </is>
      </c>
    </row>
    <row r="221" ht="48" customHeight="1">
      <c r="A221">
        <f>IMAGE("http://80.240.31.146:3000/_next/image?url=%2Fapi%2Fmedia%2Ffile%2Fceline-vanity-5-drawers-picture.webp&amp;w=256&amp;q=75",4,60,80)</f>
      </c>
      <c r="B221" t="n">
        <v>359</v>
      </c>
      <c r="C221" t="inlineStr">
        <is>
          <t xml:space="preserve">published</t>
        </is>
      </c>
      <c r="D221" t="inlineStr">
        <is>
          <t xml:space="preserve">سلین</t>
        </is>
      </c>
      <c r="F221" t="inlineStr">
        <is>
          <t xml:space="preserve">میز آرایش سلین</t>
        </is>
      </c>
      <c r="G221" t="inlineStr">
        <is>
          <t xml:space="preserve">celine-vanity</t>
        </is>
      </c>
      <c r="H221" t="inlineStr">
        <is>
          <t xml:space="preserve">celine-vanity</t>
        </is>
      </c>
      <c r="I221" t="inlineStr">
        <is>
          <t xml:space="preserve">double</t>
        </is>
      </c>
      <c r="J221" t="n">
        <v>947450000</v>
      </c>
      <c r="L221" t="n">
        <v>14</v>
      </c>
      <c r="M221" t="n">
        <v>5</v>
      </c>
      <c r="N221" t="n">
        <v>5</v>
      </c>
      <c r="O221" t="inlineStr">
        <is>
          <t xml:space="preserve">in_stock</t>
        </is>
      </c>
      <c r="P221" t="inlineStr">
        <is>
          <t xml:space="preserve">width:100 · height:78 · depth:45</t>
        </is>
      </c>
      <c r="R221" t="inlineStr">
        <is>
          <t xml:space="preserve">میز آرایش</t>
        </is>
      </c>
      <c r="X221" t="n">
        <v>2</v>
      </c>
      <c r="Y221" t="inlineStr">
        <is>
          <t xml:space="preserve">celine-vanity-5-drawers-picture.webp; celine-vanity-chair-picture.webp</t>
        </is>
      </c>
      <c r="Z221" t="inlineStr">
        <is>
          <t xml:space="preserve">http://80.240.31.146:3000/api/media/file/celine-vanity-5-drawers-picture.webp; http://80.240.31.146:3000/api/media/file/celine-vanity-chair-picture.webp</t>
        </is>
      </c>
    </row>
    <row r="222" ht="48" customHeight="1">
      <c r="A222">
        <f>IMAGE("http://80.240.31.146:3000/_next/image?url=%2Fapi%2Fmedia%2Ffile%2Fceline-table-mirror-3-pieces-picture.webp&amp;w=256&amp;q=75",4,60,80)</f>
      </c>
      <c r="B222" t="n">
        <v>358</v>
      </c>
      <c r="C222" t="inlineStr">
        <is>
          <t xml:space="preserve">published</t>
        </is>
      </c>
      <c r="D222" t="inlineStr">
        <is>
          <t xml:space="preserve">سلین</t>
        </is>
      </c>
      <c r="F222" t="inlineStr">
        <is>
          <t xml:space="preserve">آینه رومیزی سلین</t>
        </is>
      </c>
      <c r="G222" t="inlineStr">
        <is>
          <t xml:space="preserve">celine-table-mirror</t>
        </is>
      </c>
      <c r="H222" t="inlineStr">
        <is>
          <t xml:space="preserve">celine-table-mirror</t>
        </is>
      </c>
      <c r="I222" t="inlineStr">
        <is>
          <t xml:space="preserve">double</t>
        </is>
      </c>
      <c r="J222" t="n">
        <v>426680000</v>
      </c>
      <c r="L222" t="n">
        <v>14</v>
      </c>
      <c r="M222" t="n">
        <v>5</v>
      </c>
      <c r="N222" t="n">
        <v>5</v>
      </c>
      <c r="O222" t="inlineStr">
        <is>
          <t xml:space="preserve">in_stock</t>
        </is>
      </c>
      <c r="P222" t="inlineStr">
        <is>
          <t xml:space="preserve">width:60 · height:70 · depth:5</t>
        </is>
      </c>
      <c r="R222" t="inlineStr">
        <is>
          <t xml:space="preserve">آینه رومیزی</t>
        </is>
      </c>
      <c r="X222" t="n">
        <v>1</v>
      </c>
      <c r="Y222" t="inlineStr">
        <is>
          <t xml:space="preserve">celine-table-mirror-3-pieces-picture.webp</t>
        </is>
      </c>
      <c r="Z222" t="inlineStr">
        <is>
          <t xml:space="preserve">http://80.240.31.146:3000/api/media/file/celine-table-mirror-3-pieces-picture.webp</t>
        </is>
      </c>
    </row>
    <row r="223" ht="48" customHeight="1">
      <c r="B223" t="n">
        <v>357</v>
      </c>
      <c r="C223" t="inlineStr">
        <is>
          <t xml:space="preserve">draft</t>
        </is>
      </c>
      <c r="D223" t="inlineStr">
        <is>
          <t xml:space="preserve">سلین</t>
        </is>
      </c>
      <c r="F223" t="inlineStr">
        <is>
          <t xml:space="preserve">آینه قدی سلین</t>
        </is>
      </c>
      <c r="G223" t="inlineStr">
        <is>
          <t xml:space="preserve">celine-standing-mirror</t>
        </is>
      </c>
      <c r="H223" t="inlineStr">
        <is>
          <t xml:space="preserve">celine-standing-mirror</t>
        </is>
      </c>
      <c r="I223" t="inlineStr">
        <is>
          <t xml:space="preserve">double</t>
        </is>
      </c>
      <c r="J223" t="n">
        <v>715510000</v>
      </c>
      <c r="L223" t="n">
        <v>14</v>
      </c>
      <c r="M223" t="n">
        <v>5</v>
      </c>
      <c r="N223" t="n">
        <v>5</v>
      </c>
      <c r="O223" t="inlineStr">
        <is>
          <t xml:space="preserve">in_stock</t>
        </is>
      </c>
      <c r="P223" t="inlineStr">
        <is>
          <t xml:space="preserve">width:60 · height:180 · depth:5</t>
        </is>
      </c>
      <c r="R223" t="inlineStr">
        <is>
          <t xml:space="preserve">آینه قدی</t>
        </is>
      </c>
      <c r="X223" t="n">
        <v>0</v>
      </c>
    </row>
    <row r="224" ht="48" customHeight="1">
      <c r="A224">
        <f>IMAGE("http://80.240.31.146:3000/_next/image?url=%2Fapi%2Fmedia%2Ffile%2Fceline-nightstand-picture-v2.webp&amp;w=256&amp;q=75",4,60,80)</f>
      </c>
      <c r="B224" t="n">
        <v>356</v>
      </c>
      <c r="C224" t="inlineStr">
        <is>
          <t xml:space="preserve">published</t>
        </is>
      </c>
      <c r="D224" t="inlineStr">
        <is>
          <t xml:space="preserve">سلین</t>
        </is>
      </c>
      <c r="F224" t="inlineStr">
        <is>
          <t xml:space="preserve">پاتختی سلین</t>
        </is>
      </c>
      <c r="G224" t="inlineStr">
        <is>
          <t xml:space="preserve">celine-nightstand</t>
        </is>
      </c>
      <c r="H224" t="inlineStr">
        <is>
          <t xml:space="preserve">celine-nightstand</t>
        </is>
      </c>
      <c r="I224" t="inlineStr">
        <is>
          <t xml:space="preserve">double</t>
        </is>
      </c>
      <c r="J224" t="n">
        <v>470440000</v>
      </c>
      <c r="L224" t="n">
        <v>14</v>
      </c>
      <c r="M224" t="n">
        <v>5</v>
      </c>
      <c r="N224" t="n">
        <v>5</v>
      </c>
      <c r="O224" t="inlineStr">
        <is>
          <t xml:space="preserve">in_stock</t>
        </is>
      </c>
      <c r="P224" t="inlineStr">
        <is>
          <t xml:space="preserve">width:50 · height:55 · depth:40</t>
        </is>
      </c>
      <c r="R224" t="inlineStr">
        <is>
          <t xml:space="preserve">پاتختی</t>
        </is>
      </c>
      <c r="X224" t="n">
        <v>2</v>
      </c>
      <c r="Y224" t="inlineStr">
        <is>
          <t xml:space="preserve">celine-nightstand-picture-v2.webp; celine-nightstand-picture.webp</t>
        </is>
      </c>
      <c r="Z224" t="inlineStr">
        <is>
          <t xml:space="preserve">http://80.240.31.146:3000/api/media/file/celine-nightstand-picture-v2.webp; http://80.240.31.146:3000/api/media/file/celine-nightstand-picture.webp</t>
        </is>
      </c>
    </row>
    <row r="225" ht="48" customHeight="1">
      <c r="A225">
        <f>IMAGE("http://80.240.31.146:3000/_next/image?url=%2Fapi%2Fmedia%2Ffile%2Fceline-file-5-drawers-picture.webp&amp;w=256&amp;q=75",4,60,80)</f>
      </c>
      <c r="B225" t="n">
        <v>355</v>
      </c>
      <c r="C225" t="inlineStr">
        <is>
          <t xml:space="preserve">published</t>
        </is>
      </c>
      <c r="D225" t="inlineStr">
        <is>
          <t xml:space="preserve">سلین</t>
        </is>
      </c>
      <c r="F225" t="inlineStr">
        <is>
          <t xml:space="preserve">فایل سلین</t>
        </is>
      </c>
      <c r="G225" t="inlineStr">
        <is>
          <t xml:space="preserve">celine-file</t>
        </is>
      </c>
      <c r="H225" t="inlineStr">
        <is>
          <t xml:space="preserve">celine-file</t>
        </is>
      </c>
      <c r="I225" t="inlineStr">
        <is>
          <t xml:space="preserve">double</t>
        </is>
      </c>
      <c r="J225" t="n">
        <v>1165420000</v>
      </c>
      <c r="L225" t="n">
        <v>14</v>
      </c>
      <c r="M225" t="n">
        <v>5</v>
      </c>
      <c r="N225" t="n">
        <v>5</v>
      </c>
      <c r="O225" t="inlineStr">
        <is>
          <t xml:space="preserve">in_stock</t>
        </is>
      </c>
      <c r="P225" t="inlineStr">
        <is>
          <t xml:space="preserve">width:45 · height:120 · depth:50</t>
        </is>
      </c>
      <c r="R225" t="inlineStr">
        <is>
          <t xml:space="preserve">فایل</t>
        </is>
      </c>
      <c r="X225" t="n">
        <v>1</v>
      </c>
      <c r="Y225" t="inlineStr">
        <is>
          <t xml:space="preserve">celine-file-5-drawers-picture.webp</t>
        </is>
      </c>
      <c r="Z225" t="inlineStr">
        <is>
          <t xml:space="preserve">http://80.240.31.146:3000/api/media/file/celine-file-5-drawers-picture.webp</t>
        </is>
      </c>
    </row>
    <row r="226" ht="48" customHeight="1">
      <c r="A226">
        <f>IMAGE("http://80.240.31.146:3000/_next/image?url=%2Fapi%2Fmedia%2Ffile%2Fceline-double-bed-160-picture.webp&amp;w=256&amp;q=75",4,60,80)</f>
      </c>
      <c r="B226" t="n">
        <v>354</v>
      </c>
      <c r="C226" t="inlineStr">
        <is>
          <t xml:space="preserve">published</t>
        </is>
      </c>
      <c r="D226" t="inlineStr">
        <is>
          <t xml:space="preserve">سلین</t>
        </is>
      </c>
      <c r="F226" t="inlineStr">
        <is>
          <t xml:space="preserve">تخت دونفره سلین</t>
        </is>
      </c>
      <c r="G226" t="inlineStr">
        <is>
          <t xml:space="preserve">celine-double-bed</t>
        </is>
      </c>
      <c r="H226" t="inlineStr">
        <is>
          <t xml:space="preserve">celine-double-bed</t>
        </is>
      </c>
      <c r="I226" t="inlineStr">
        <is>
          <t xml:space="preserve">double</t>
        </is>
      </c>
      <c r="J226" t="n">
        <v>1116810000</v>
      </c>
      <c r="L226" t="n">
        <v>14</v>
      </c>
      <c r="M226" t="n">
        <v>5</v>
      </c>
      <c r="N226" t="n">
        <v>5</v>
      </c>
      <c r="O226" t="inlineStr">
        <is>
          <t xml:space="preserve">in_stock</t>
        </is>
      </c>
      <c r="P226" t="inlineStr">
        <is>
          <t xml:space="preserve">width:160 · height:110 · depth:215</t>
        </is>
      </c>
      <c r="R226" t="inlineStr">
        <is>
          <t xml:space="preserve">تخت دونفره</t>
        </is>
      </c>
      <c r="X226" t="n">
        <v>1</v>
      </c>
      <c r="Y226" t="inlineStr">
        <is>
          <t xml:space="preserve">celine-double-bed-160-picture.webp</t>
        </is>
      </c>
      <c r="Z226" t="inlineStr">
        <is>
          <t xml:space="preserve">http://80.240.31.146:3000/api/media/file/celine-double-bed-160-picture.webp</t>
        </is>
      </c>
    </row>
    <row r="227" ht="48" customHeight="1">
      <c r="B227" t="n">
        <v>353</v>
      </c>
      <c r="C227" t="inlineStr">
        <is>
          <t xml:space="preserve">draft</t>
        </is>
      </c>
      <c r="D227" t="inlineStr">
        <is>
          <t xml:space="preserve">کاترین</t>
        </is>
      </c>
      <c r="F227" t="inlineStr">
        <is>
          <t xml:space="preserve">کمد کاترین</t>
        </is>
      </c>
      <c r="G227" t="inlineStr">
        <is>
          <t xml:space="preserve">catherine-wardrobe</t>
        </is>
      </c>
      <c r="H227" t="inlineStr">
        <is>
          <t xml:space="preserve">catherine-wardrobe</t>
        </is>
      </c>
      <c r="I227" t="inlineStr">
        <is>
          <t xml:space="preserve">baby, double, teen</t>
        </is>
      </c>
      <c r="J227" t="n">
        <v>1464610000</v>
      </c>
      <c r="L227" t="n">
        <v>14</v>
      </c>
      <c r="M227" t="n">
        <v>5</v>
      </c>
      <c r="N227" t="n">
        <v>5</v>
      </c>
      <c r="O227" t="inlineStr">
        <is>
          <t xml:space="preserve">in_stock</t>
        </is>
      </c>
      <c r="P227" t="inlineStr">
        <is>
          <t xml:space="preserve">width:120 · height:220 · depth:60</t>
        </is>
      </c>
      <c r="R227" t="inlineStr">
        <is>
          <t xml:space="preserve">کمد</t>
        </is>
      </c>
      <c r="X227" t="n">
        <v>0</v>
      </c>
    </row>
    <row r="228" ht="48" customHeight="1">
      <c r="B228" t="n">
        <v>352</v>
      </c>
      <c r="C228" t="inlineStr">
        <is>
          <t xml:space="preserve">draft</t>
        </is>
      </c>
      <c r="D228" t="inlineStr">
        <is>
          <t xml:space="preserve">کاترین</t>
        </is>
      </c>
      <c r="F228" t="inlineStr">
        <is>
          <t xml:space="preserve">شلف دیواری کاترین</t>
        </is>
      </c>
      <c r="G228" t="inlineStr">
        <is>
          <t xml:space="preserve">catherine-wall-shelf</t>
        </is>
      </c>
      <c r="H228" t="inlineStr">
        <is>
          <t xml:space="preserve">catherine-wall-shelf</t>
        </is>
      </c>
      <c r="I228" t="inlineStr">
        <is>
          <t xml:space="preserve">baby, double, teen</t>
        </is>
      </c>
      <c r="J228" t="n">
        <v>114510000</v>
      </c>
      <c r="L228" t="n">
        <v>14</v>
      </c>
      <c r="M228" t="n">
        <v>5</v>
      </c>
      <c r="N228" t="n">
        <v>5</v>
      </c>
      <c r="O228" t="inlineStr">
        <is>
          <t xml:space="preserve">in_stock</t>
        </is>
      </c>
      <c r="P228" t="inlineStr">
        <is>
          <t xml:space="preserve">width:80 · height:25 · depth:25</t>
        </is>
      </c>
      <c r="R228" t="inlineStr">
        <is>
          <t xml:space="preserve">شلف دیواری (براکت)</t>
        </is>
      </c>
      <c r="X228" t="n">
        <v>0</v>
      </c>
    </row>
    <row r="229" ht="48" customHeight="1">
      <c r="B229" t="n">
        <v>351</v>
      </c>
      <c r="C229" t="inlineStr">
        <is>
          <t xml:space="preserve">draft</t>
        </is>
      </c>
      <c r="D229" t="inlineStr">
        <is>
          <t xml:space="preserve">کاترین</t>
        </is>
      </c>
      <c r="F229" t="inlineStr">
        <is>
          <t xml:space="preserve">آینه دیواری کاترین</t>
        </is>
      </c>
      <c r="G229" t="inlineStr">
        <is>
          <t xml:space="preserve">catherine-wall-mirror</t>
        </is>
      </c>
      <c r="H229" t="inlineStr">
        <is>
          <t xml:space="preserve">catherine-wall-mirror</t>
        </is>
      </c>
      <c r="I229" t="inlineStr">
        <is>
          <t xml:space="preserve">baby, double, teen</t>
        </is>
      </c>
      <c r="J229" t="n">
        <v>430000000</v>
      </c>
      <c r="L229" t="n">
        <v>14</v>
      </c>
      <c r="M229" t="n">
        <v>5</v>
      </c>
      <c r="N229" t="n">
        <v>5</v>
      </c>
      <c r="O229" t="inlineStr">
        <is>
          <t xml:space="preserve">in_stock</t>
        </is>
      </c>
      <c r="P229" t="inlineStr">
        <is>
          <t xml:space="preserve">width:80 · height:100 · depth:5</t>
        </is>
      </c>
      <c r="R229" t="inlineStr">
        <is>
          <t xml:space="preserve">آینه دیواری</t>
        </is>
      </c>
      <c r="X229" t="n">
        <v>0</v>
      </c>
    </row>
    <row r="230" ht="48" customHeight="1">
      <c r="B230" t="n">
        <v>350</v>
      </c>
      <c r="C230" t="inlineStr">
        <is>
          <t xml:space="preserve">draft</t>
        </is>
      </c>
      <c r="D230" t="inlineStr">
        <is>
          <t xml:space="preserve">کاترین</t>
        </is>
      </c>
      <c r="F230" t="inlineStr">
        <is>
          <t xml:space="preserve">میز آرایش کاترین</t>
        </is>
      </c>
      <c r="G230" t="inlineStr">
        <is>
          <t xml:space="preserve">catherine-vanity</t>
        </is>
      </c>
      <c r="H230" t="inlineStr">
        <is>
          <t xml:space="preserve">catherine-vanity</t>
        </is>
      </c>
      <c r="I230" t="inlineStr">
        <is>
          <t xml:space="preserve">baby, double, teen</t>
        </is>
      </c>
      <c r="J230" t="n">
        <v>720650000</v>
      </c>
      <c r="L230" t="n">
        <v>14</v>
      </c>
      <c r="M230" t="n">
        <v>5</v>
      </c>
      <c r="N230" t="n">
        <v>5</v>
      </c>
      <c r="O230" t="inlineStr">
        <is>
          <t xml:space="preserve">in_stock</t>
        </is>
      </c>
      <c r="P230" t="inlineStr">
        <is>
          <t xml:space="preserve">width:100 · height:78 · depth:45</t>
        </is>
      </c>
      <c r="R230" t="inlineStr">
        <is>
          <t xml:space="preserve">میز آرایش</t>
        </is>
      </c>
      <c r="X230" t="n">
        <v>0</v>
      </c>
    </row>
    <row r="231" ht="48" customHeight="1">
      <c r="B231" t="n">
        <v>349</v>
      </c>
      <c r="C231" t="inlineStr">
        <is>
          <t xml:space="preserve">draft</t>
        </is>
      </c>
      <c r="D231" t="inlineStr">
        <is>
          <t xml:space="preserve">کاترین</t>
        </is>
      </c>
      <c r="F231" t="inlineStr">
        <is>
          <t xml:space="preserve">آینه رومیزی کاترین</t>
        </is>
      </c>
      <c r="G231" t="inlineStr">
        <is>
          <t xml:space="preserve">catherine-table-mirror</t>
        </is>
      </c>
      <c r="H231" t="inlineStr">
        <is>
          <t xml:space="preserve">catherine-table-mirror</t>
        </is>
      </c>
      <c r="I231" t="inlineStr">
        <is>
          <t xml:space="preserve">baby, double, teen</t>
        </is>
      </c>
      <c r="J231" t="n">
        <v>286240000</v>
      </c>
      <c r="L231" t="n">
        <v>14</v>
      </c>
      <c r="M231" t="n">
        <v>5</v>
      </c>
      <c r="N231" t="n">
        <v>5</v>
      </c>
      <c r="O231" t="inlineStr">
        <is>
          <t xml:space="preserve">in_stock</t>
        </is>
      </c>
      <c r="P231" t="inlineStr">
        <is>
          <t xml:space="preserve">width:60 · height:70 · depth:5</t>
        </is>
      </c>
      <c r="R231" t="inlineStr">
        <is>
          <t xml:space="preserve">آینه رومیزی</t>
        </is>
      </c>
      <c r="X231" t="n">
        <v>0</v>
      </c>
    </row>
    <row r="232" ht="48" customHeight="1">
      <c r="B232" t="n">
        <v>348</v>
      </c>
      <c r="C232" t="inlineStr">
        <is>
          <t xml:space="preserve">draft</t>
        </is>
      </c>
      <c r="D232" t="inlineStr">
        <is>
          <t xml:space="preserve">کاترین</t>
        </is>
      </c>
      <c r="F232" t="inlineStr">
        <is>
          <t xml:space="preserve">میز تحریر کاترین</t>
        </is>
      </c>
      <c r="G232" t="inlineStr">
        <is>
          <t xml:space="preserve">catherine-study-desk</t>
        </is>
      </c>
      <c r="H232" t="inlineStr">
        <is>
          <t xml:space="preserve">catherine-study-desk</t>
        </is>
      </c>
      <c r="I232" t="inlineStr">
        <is>
          <t xml:space="preserve">baby, double, teen</t>
        </is>
      </c>
      <c r="J232" t="n">
        <v>1032210000</v>
      </c>
      <c r="L232" t="n">
        <v>14</v>
      </c>
      <c r="M232" t="n">
        <v>5</v>
      </c>
      <c r="N232" t="n">
        <v>5</v>
      </c>
      <c r="O232" t="inlineStr">
        <is>
          <t xml:space="preserve">in_stock</t>
        </is>
      </c>
      <c r="P232" t="inlineStr">
        <is>
          <t xml:space="preserve">width:120 · height:75 · depth:60</t>
        </is>
      </c>
      <c r="R232" t="inlineStr">
        <is>
          <t xml:space="preserve">میز تحریر</t>
        </is>
      </c>
      <c r="X232" t="n">
        <v>0</v>
      </c>
    </row>
    <row r="233" ht="48" customHeight="1">
      <c r="B233" t="n">
        <v>347</v>
      </c>
      <c r="C233" t="inlineStr">
        <is>
          <t xml:space="preserve">draft</t>
        </is>
      </c>
      <c r="D233" t="inlineStr">
        <is>
          <t xml:space="preserve">کاترین</t>
        </is>
      </c>
      <c r="F233" t="inlineStr">
        <is>
          <t xml:space="preserve">صندلی میز تحریر کاترین</t>
        </is>
      </c>
      <c r="G233" t="inlineStr">
        <is>
          <t xml:space="preserve">catherine-study-chair</t>
        </is>
      </c>
      <c r="H233" t="inlineStr">
        <is>
          <t xml:space="preserve">catherine-study-chair</t>
        </is>
      </c>
      <c r="I233" t="inlineStr">
        <is>
          <t xml:space="preserve">baby, double, teen</t>
        </is>
      </c>
      <c r="J233" t="n">
        <v>358010000</v>
      </c>
      <c r="L233" t="n">
        <v>14</v>
      </c>
      <c r="M233" t="n">
        <v>5</v>
      </c>
      <c r="N233" t="n">
        <v>5</v>
      </c>
      <c r="O233" t="inlineStr">
        <is>
          <t xml:space="preserve">in_stock</t>
        </is>
      </c>
      <c r="P233" t="inlineStr">
        <is>
          <t xml:space="preserve">width:50 · height:85 · depth:50</t>
        </is>
      </c>
      <c r="R233" t="inlineStr">
        <is>
          <t xml:space="preserve">صندلی میز تحریر</t>
        </is>
      </c>
      <c r="X233" t="n">
        <v>0</v>
      </c>
    </row>
    <row r="234" ht="48" customHeight="1">
      <c r="B234" t="n">
        <v>346</v>
      </c>
      <c r="C234" t="inlineStr">
        <is>
          <t xml:space="preserve">draft</t>
        </is>
      </c>
      <c r="D234" t="inlineStr">
        <is>
          <t xml:space="preserve">کاترین</t>
        </is>
      </c>
      <c r="F234" t="inlineStr">
        <is>
          <t xml:space="preserve">آینه قدی کاترین</t>
        </is>
      </c>
      <c r="G234" t="inlineStr">
        <is>
          <t xml:space="preserve">catherine-standing-mirror</t>
        </is>
      </c>
      <c r="H234" t="inlineStr">
        <is>
          <t xml:space="preserve">catherine-standing-mirror</t>
        </is>
      </c>
      <c r="I234" t="inlineStr">
        <is>
          <t xml:space="preserve">baby, double, teen</t>
        </is>
      </c>
      <c r="J234" t="n">
        <v>776340000</v>
      </c>
      <c r="L234" t="n">
        <v>14</v>
      </c>
      <c r="M234" t="n">
        <v>5</v>
      </c>
      <c r="N234" t="n">
        <v>5</v>
      </c>
      <c r="O234" t="inlineStr">
        <is>
          <t xml:space="preserve">in_stock</t>
        </is>
      </c>
      <c r="P234" t="inlineStr">
        <is>
          <t xml:space="preserve">width:60 · height:180 · depth:5</t>
        </is>
      </c>
      <c r="R234" t="inlineStr">
        <is>
          <t xml:space="preserve">آینه قدی</t>
        </is>
      </c>
      <c r="X234" t="n">
        <v>0</v>
      </c>
    </row>
    <row r="235" ht="48" customHeight="1">
      <c r="B235" t="n">
        <v>345</v>
      </c>
      <c r="C235" t="inlineStr">
        <is>
          <t xml:space="preserve">draft</t>
        </is>
      </c>
      <c r="D235" t="inlineStr">
        <is>
          <t xml:space="preserve">کاترین</t>
        </is>
      </c>
      <c r="F235" t="inlineStr">
        <is>
          <t xml:space="preserve">تخت یک نفره کاترین</t>
        </is>
      </c>
      <c r="G235" t="inlineStr">
        <is>
          <t xml:space="preserve">catherine-single-bed</t>
        </is>
      </c>
      <c r="H235" t="inlineStr">
        <is>
          <t xml:space="preserve">catherine-single-bed</t>
        </is>
      </c>
      <c r="I235" t="inlineStr">
        <is>
          <t xml:space="preserve">baby, double, teen</t>
        </is>
      </c>
      <c r="J235" t="n">
        <v>1100900000</v>
      </c>
      <c r="L235" t="n">
        <v>14</v>
      </c>
      <c r="M235" t="n">
        <v>5</v>
      </c>
      <c r="N235" t="n">
        <v>5</v>
      </c>
      <c r="O235" t="inlineStr">
        <is>
          <t xml:space="preserve">in_stock</t>
        </is>
      </c>
      <c r="P235" t="inlineStr">
        <is>
          <t xml:space="preserve">width:100 · height:110 · depth:210</t>
        </is>
      </c>
      <c r="R235" t="inlineStr">
        <is>
          <t xml:space="preserve">تخت یک نفره</t>
        </is>
      </c>
      <c r="X235" t="n">
        <v>0</v>
      </c>
    </row>
    <row r="236" ht="48" customHeight="1">
      <c r="B236" t="n">
        <v>344</v>
      </c>
      <c r="C236" t="inlineStr">
        <is>
          <t xml:space="preserve">draft</t>
        </is>
      </c>
      <c r="D236" t="inlineStr">
        <is>
          <t xml:space="preserve">کاترین</t>
        </is>
      </c>
      <c r="F236" t="inlineStr">
        <is>
          <t xml:space="preserve">پاتختی کاترین</t>
        </is>
      </c>
      <c r="G236" t="inlineStr">
        <is>
          <t xml:space="preserve">catherine-nightstand</t>
        </is>
      </c>
      <c r="H236" t="inlineStr">
        <is>
          <t xml:space="preserve">catherine-nightstand</t>
        </is>
      </c>
      <c r="I236" t="inlineStr">
        <is>
          <t xml:space="preserve">baby, double, teen</t>
        </is>
      </c>
      <c r="J236" t="n">
        <v>418330000</v>
      </c>
      <c r="L236" t="n">
        <v>14</v>
      </c>
      <c r="M236" t="n">
        <v>5</v>
      </c>
      <c r="N236" t="n">
        <v>5</v>
      </c>
      <c r="O236" t="inlineStr">
        <is>
          <t xml:space="preserve">in_stock</t>
        </is>
      </c>
      <c r="P236" t="inlineStr">
        <is>
          <t xml:space="preserve">width:50 · height:55 · depth:40</t>
        </is>
      </c>
      <c r="R236" t="inlineStr">
        <is>
          <t xml:space="preserve">پاتختی</t>
        </is>
      </c>
      <c r="X236" t="n">
        <v>0</v>
      </c>
    </row>
    <row r="237" ht="48" customHeight="1">
      <c r="B237" t="n">
        <v>343</v>
      </c>
      <c r="C237" t="inlineStr">
        <is>
          <t xml:space="preserve">draft</t>
        </is>
      </c>
      <c r="D237" t="inlineStr">
        <is>
          <t xml:space="preserve">کاترین</t>
        </is>
      </c>
      <c r="F237" t="inlineStr">
        <is>
          <t xml:space="preserve">تخت دونفره کاترین</t>
        </is>
      </c>
      <c r="G237" t="inlineStr">
        <is>
          <t xml:space="preserve">catherine-double-bed</t>
        </is>
      </c>
      <c r="H237" t="inlineStr">
        <is>
          <t xml:space="preserve">catherine-double-bed</t>
        </is>
      </c>
      <c r="I237" t="inlineStr">
        <is>
          <t xml:space="preserve">baby, double, teen</t>
        </is>
      </c>
      <c r="J237" t="n">
        <v>1365130000</v>
      </c>
      <c r="L237" t="n">
        <v>14</v>
      </c>
      <c r="M237" t="n">
        <v>5</v>
      </c>
      <c r="N237" t="n">
        <v>5</v>
      </c>
      <c r="O237" t="inlineStr">
        <is>
          <t xml:space="preserve">in_stock</t>
        </is>
      </c>
      <c r="P237" t="inlineStr">
        <is>
          <t xml:space="preserve">width:160 · height:110 · depth:215</t>
        </is>
      </c>
      <c r="R237" t="inlineStr">
        <is>
          <t xml:space="preserve">تخت دونفره</t>
        </is>
      </c>
      <c r="X237" t="n">
        <v>0</v>
      </c>
    </row>
    <row r="238" ht="48" customHeight="1">
      <c r="B238" t="n">
        <v>342</v>
      </c>
      <c r="C238" t="inlineStr">
        <is>
          <t xml:space="preserve">draft</t>
        </is>
      </c>
      <c r="D238" t="inlineStr">
        <is>
          <t xml:space="preserve">کاترین</t>
        </is>
      </c>
      <c r="F238" t="inlineStr">
        <is>
          <t xml:space="preserve">تخت نوزاد دومنظوره کاترین</t>
        </is>
      </c>
      <c r="G238" t="inlineStr">
        <is>
          <t xml:space="preserve">catherine-convertible-bed</t>
        </is>
      </c>
      <c r="H238" t="inlineStr">
        <is>
          <t xml:space="preserve">catherine-convertible-bed</t>
        </is>
      </c>
      <c r="I238" t="inlineStr">
        <is>
          <t xml:space="preserve">baby, double, teen</t>
        </is>
      </c>
      <c r="J238" t="n">
        <v>1526690000</v>
      </c>
      <c r="L238" t="n">
        <v>14</v>
      </c>
      <c r="M238" t="n">
        <v>5</v>
      </c>
      <c r="N238" t="n">
        <v>5</v>
      </c>
      <c r="O238" t="inlineStr">
        <is>
          <t xml:space="preserve">in_stock</t>
        </is>
      </c>
      <c r="P238" t="inlineStr">
        <is>
          <t xml:space="preserve">width:90 · height:105 · depth:195</t>
        </is>
      </c>
      <c r="R238" t="inlineStr">
        <is>
          <t xml:space="preserve">تخت نوزاد دومظوره (نوزاد نوجوان، کاناپه ای)</t>
        </is>
      </c>
      <c r="X238" t="n">
        <v>0</v>
      </c>
    </row>
    <row r="239" ht="48" customHeight="1">
      <c r="B239" t="n">
        <v>341</v>
      </c>
      <c r="C239" t="inlineStr">
        <is>
          <t xml:space="preserve">draft</t>
        </is>
      </c>
      <c r="D239" t="inlineStr">
        <is>
          <t xml:space="preserve">کاترین</t>
        </is>
      </c>
      <c r="F239" t="inlineStr">
        <is>
          <t xml:space="preserve">کنسول کاترین</t>
        </is>
      </c>
      <c r="G239" t="inlineStr">
        <is>
          <t xml:space="preserve">catherine-console</t>
        </is>
      </c>
      <c r="H239" t="inlineStr">
        <is>
          <t xml:space="preserve">catherine-console</t>
        </is>
      </c>
      <c r="I239" t="inlineStr">
        <is>
          <t xml:space="preserve">baby, double, teen</t>
        </is>
      </c>
      <c r="J239" t="n">
        <v>0</v>
      </c>
      <c r="L239" t="n">
        <v>14</v>
      </c>
      <c r="M239" t="n">
        <v>5</v>
      </c>
      <c r="N239" t="n">
        <v>5</v>
      </c>
      <c r="O239" t="inlineStr">
        <is>
          <t xml:space="preserve">made_to_order</t>
        </is>
      </c>
      <c r="P239" t="inlineStr">
        <is>
          <t xml:space="preserve">width:110 · height:80 · depth:35</t>
        </is>
      </c>
      <c r="R239" t="inlineStr">
        <is>
          <t xml:space="preserve">کنسول</t>
        </is>
      </c>
      <c r="X239" t="n">
        <v>0</v>
      </c>
    </row>
    <row r="240" ht="48" customHeight="1">
      <c r="B240" t="n">
        <v>340</v>
      </c>
      <c r="C240" t="inlineStr">
        <is>
          <t xml:space="preserve">draft</t>
        </is>
      </c>
      <c r="D240" t="inlineStr">
        <is>
          <t xml:space="preserve">کاترین</t>
        </is>
      </c>
      <c r="F240" t="inlineStr">
        <is>
          <t xml:space="preserve">میز تعویض کاترین</t>
        </is>
      </c>
      <c r="G240" t="inlineStr">
        <is>
          <t xml:space="preserve">catherine-changing-table</t>
        </is>
      </c>
      <c r="H240" t="inlineStr">
        <is>
          <t xml:space="preserve">catherine-changing-table</t>
        </is>
      </c>
      <c r="I240" t="inlineStr">
        <is>
          <t xml:space="preserve">baby, double, teen</t>
        </is>
      </c>
      <c r="J240" t="n">
        <v>1034820000</v>
      </c>
      <c r="L240" t="n">
        <v>14</v>
      </c>
      <c r="M240" t="n">
        <v>5</v>
      </c>
      <c r="N240" t="n">
        <v>5</v>
      </c>
      <c r="O240" t="inlineStr">
        <is>
          <t xml:space="preserve">in_stock</t>
        </is>
      </c>
      <c r="P240" t="inlineStr">
        <is>
          <t xml:space="preserve">width:80 · height:95 · depth:50</t>
        </is>
      </c>
      <c r="R240" t="inlineStr">
        <is>
          <t xml:space="preserve">میز تعویض</t>
        </is>
      </c>
      <c r="X240" t="n">
        <v>0</v>
      </c>
    </row>
    <row r="241" ht="48" customHeight="1">
      <c r="B241" t="n">
        <v>339</v>
      </c>
      <c r="C241" t="inlineStr">
        <is>
          <t xml:space="preserve">draft</t>
        </is>
      </c>
      <c r="D241" t="inlineStr">
        <is>
          <t xml:space="preserve">کاترین</t>
        </is>
      </c>
      <c r="F241" t="inlineStr">
        <is>
          <t xml:space="preserve">کتابخانه کاترین</t>
        </is>
      </c>
      <c r="G241" t="inlineStr">
        <is>
          <t xml:space="preserve">catherine-bookcase</t>
        </is>
      </c>
      <c r="H241" t="inlineStr">
        <is>
          <t xml:space="preserve">catherine-bookcase</t>
        </is>
      </c>
      <c r="I241" t="inlineStr">
        <is>
          <t xml:space="preserve">baby, double, teen</t>
        </is>
      </c>
      <c r="J241" t="n">
        <v>1148460000</v>
      </c>
      <c r="L241" t="n">
        <v>14</v>
      </c>
      <c r="M241" t="n">
        <v>5</v>
      </c>
      <c r="N241" t="n">
        <v>5</v>
      </c>
      <c r="O241" t="inlineStr">
        <is>
          <t xml:space="preserve">in_stock</t>
        </is>
      </c>
      <c r="P241" t="inlineStr">
        <is>
          <t xml:space="preserve">width:80 · height:200 · depth:35</t>
        </is>
      </c>
      <c r="R241" t="inlineStr">
        <is>
          <t xml:space="preserve">کتابخانه</t>
        </is>
      </c>
      <c r="X241" t="n">
        <v>0</v>
      </c>
    </row>
    <row r="242" ht="48" customHeight="1">
      <c r="A242">
        <f>IMAGE("http://80.240.31.146:3000/_next/image?url=%2Fapi%2Fmedia%2Ffile%2Fcaroline-wardrobe-2-doors-mdf.webp&amp;w=256&amp;q=75",4,60,80)</f>
      </c>
      <c r="B242" t="n">
        <v>338</v>
      </c>
      <c r="C242" t="inlineStr">
        <is>
          <t xml:space="preserve">published</t>
        </is>
      </c>
      <c r="D242" t="inlineStr">
        <is>
          <t xml:space="preserve">کارولین</t>
        </is>
      </c>
      <c r="F242" t="inlineStr">
        <is>
          <t xml:space="preserve">کمد کارولین</t>
        </is>
      </c>
      <c r="G242" t="inlineStr">
        <is>
          <t xml:space="preserve">caroline-wardrobe</t>
        </is>
      </c>
      <c r="H242" t="inlineStr">
        <is>
          <t xml:space="preserve">caroline-wardrobe</t>
        </is>
      </c>
      <c r="I242" t="inlineStr">
        <is>
          <t xml:space="preserve">baby, double, teen</t>
        </is>
      </c>
      <c r="J242" t="n">
        <v>768660000</v>
      </c>
      <c r="L242" t="n">
        <v>14</v>
      </c>
      <c r="M242" t="n">
        <v>5</v>
      </c>
      <c r="N242" t="n">
        <v>5</v>
      </c>
      <c r="O242" t="inlineStr">
        <is>
          <t xml:space="preserve">in_stock</t>
        </is>
      </c>
      <c r="P242" t="inlineStr">
        <is>
          <t xml:space="preserve">width:120 · height:220 · depth:60</t>
        </is>
      </c>
      <c r="R242" t="inlineStr">
        <is>
          <t xml:space="preserve">کمد</t>
        </is>
      </c>
      <c r="X242" t="n">
        <v>2</v>
      </c>
      <c r="Y242" t="inlineStr">
        <is>
          <t xml:space="preserve">caroline-wardrobe-2-doors-mdf.webp; caroline-wardrobe-3-doors-mdf.webp</t>
        </is>
      </c>
      <c r="Z242" t="inlineStr">
        <is>
          <t xml:space="preserve">http://80.240.31.146:3000/api/media/file/caroline-wardrobe-2-doors-mdf.webp; http://80.240.31.146:3000/api/media/file/caroline-wardrobe-3-doors-mdf.webp</t>
        </is>
      </c>
    </row>
    <row r="243" ht="48" customHeight="1">
      <c r="A243">
        <f>IMAGE("http://80.240.31.146:3000/_next/image?url=%2Fapi%2Fmedia%2Ffile%2Fcaroline-wall-shelf.webp&amp;w=256&amp;q=75",4,60,80)</f>
      </c>
      <c r="B243" t="n">
        <v>337</v>
      </c>
      <c r="C243" t="inlineStr">
        <is>
          <t xml:space="preserve">published</t>
        </is>
      </c>
      <c r="D243" t="inlineStr">
        <is>
          <t xml:space="preserve">کارولین</t>
        </is>
      </c>
      <c r="F243" t="inlineStr">
        <is>
          <t xml:space="preserve">شلف دیواری کارولین</t>
        </is>
      </c>
      <c r="G243" t="inlineStr">
        <is>
          <t xml:space="preserve">caroline-wall-shelf</t>
        </is>
      </c>
      <c r="H243" t="inlineStr">
        <is>
          <t xml:space="preserve">caroline-wall-shelf</t>
        </is>
      </c>
      <c r="I243" t="inlineStr">
        <is>
          <t xml:space="preserve">baby, double, teen</t>
        </is>
      </c>
      <c r="J243" t="n">
        <v>68880000</v>
      </c>
      <c r="L243" t="n">
        <v>14</v>
      </c>
      <c r="M243" t="n">
        <v>5</v>
      </c>
      <c r="N243" t="n">
        <v>5</v>
      </c>
      <c r="O243" t="inlineStr">
        <is>
          <t xml:space="preserve">in_stock</t>
        </is>
      </c>
      <c r="P243" t="inlineStr">
        <is>
          <t xml:space="preserve">width:80 · height:25 · depth:25</t>
        </is>
      </c>
      <c r="R243" t="inlineStr">
        <is>
          <t xml:space="preserve">شلف دیواری (براکت)</t>
        </is>
      </c>
      <c r="X243" t="n">
        <v>1</v>
      </c>
      <c r="Y243" t="inlineStr">
        <is>
          <t xml:space="preserve">caroline-wall-shelf.webp</t>
        </is>
      </c>
      <c r="Z243" t="inlineStr">
        <is>
          <t xml:space="preserve">http://80.240.31.146:3000/api/media/file/caroline-wall-shelf.webp</t>
        </is>
      </c>
    </row>
    <row r="244" ht="48" customHeight="1">
      <c r="B244" t="n">
        <v>336</v>
      </c>
      <c r="C244" t="inlineStr">
        <is>
          <t xml:space="preserve">draft</t>
        </is>
      </c>
      <c r="D244" t="inlineStr">
        <is>
          <t xml:space="preserve">کارولین</t>
        </is>
      </c>
      <c r="F244" t="inlineStr">
        <is>
          <t xml:space="preserve">صندلی میز آرایش کارولین</t>
        </is>
      </c>
      <c r="G244" t="inlineStr">
        <is>
          <t xml:space="preserve">caroline-vanity-chair</t>
        </is>
      </c>
      <c r="H244" t="inlineStr">
        <is>
          <t xml:space="preserve">caroline-vanity-chair</t>
        </is>
      </c>
      <c r="I244" t="inlineStr">
        <is>
          <t xml:space="preserve">baby, double, teen</t>
        </is>
      </c>
      <c r="J244" t="n">
        <v>149050000</v>
      </c>
      <c r="L244" t="n">
        <v>14</v>
      </c>
      <c r="M244" t="n">
        <v>5</v>
      </c>
      <c r="N244" t="n">
        <v>5</v>
      </c>
      <c r="O244" t="inlineStr">
        <is>
          <t xml:space="preserve">in_stock</t>
        </is>
      </c>
      <c r="P244" t="inlineStr">
        <is>
          <t xml:space="preserve">width:100 · height:78 · depth:45</t>
        </is>
      </c>
      <c r="R244" t="inlineStr">
        <is>
          <t xml:space="preserve">صندلی میز آرایش</t>
        </is>
      </c>
      <c r="X244" t="n">
        <v>0</v>
      </c>
    </row>
    <row r="245" ht="48" customHeight="1">
      <c r="A245">
        <f>IMAGE("http://80.240.31.146:3000/_next/image?url=%2Fapi%2Fmedia%2Ffile%2Fcaroline-vanity-3-drawers.webp&amp;w=256&amp;q=75",4,60,80)</f>
      </c>
      <c r="B245" t="n">
        <v>335</v>
      </c>
      <c r="C245" t="inlineStr">
        <is>
          <t xml:space="preserve">published</t>
        </is>
      </c>
      <c r="D245" t="inlineStr">
        <is>
          <t xml:space="preserve">کارولین</t>
        </is>
      </c>
      <c r="F245" t="inlineStr">
        <is>
          <t xml:space="preserve">میز آرایش کارولین</t>
        </is>
      </c>
      <c r="G245" t="inlineStr">
        <is>
          <t xml:space="preserve">caroline-vanity</t>
        </is>
      </c>
      <c r="H245" t="inlineStr">
        <is>
          <t xml:space="preserve">caroline-vanity</t>
        </is>
      </c>
      <c r="I245" t="inlineStr">
        <is>
          <t xml:space="preserve">baby, double, teen</t>
        </is>
      </c>
      <c r="J245" t="n">
        <v>462600000</v>
      </c>
      <c r="L245" t="n">
        <v>14</v>
      </c>
      <c r="M245" t="n">
        <v>5</v>
      </c>
      <c r="N245" t="n">
        <v>5</v>
      </c>
      <c r="O245" t="inlineStr">
        <is>
          <t xml:space="preserve">in_stock</t>
        </is>
      </c>
      <c r="P245" t="inlineStr">
        <is>
          <t xml:space="preserve">width:100 · height:78 · depth:45</t>
        </is>
      </c>
      <c r="R245" t="inlineStr">
        <is>
          <t xml:space="preserve">میز آرایش</t>
        </is>
      </c>
      <c r="X245" t="n">
        <v>2</v>
      </c>
      <c r="Y245" t="inlineStr">
        <is>
          <t xml:space="preserve">caroline-vanity-3-drawers.webp; caroline-vanity-6-drawers.webp</t>
        </is>
      </c>
      <c r="Z245" t="inlineStr">
        <is>
          <t xml:space="preserve">http://80.240.31.146:3000/api/media/file/caroline-vanity-3-drawers.webp; http://80.240.31.146:3000/api/media/file/caroline-vanity-6-drawers.webp</t>
        </is>
      </c>
    </row>
    <row r="246" ht="48" customHeight="1">
      <c r="A246">
        <f>IMAGE("http://80.240.31.146:3000/_next/image?url=%2Fapi%2Fmedia%2Ffile%2Fcaroline-table-mirror.webp&amp;w=256&amp;q=75",4,60,80)</f>
      </c>
      <c r="B246" t="n">
        <v>334</v>
      </c>
      <c r="C246" t="inlineStr">
        <is>
          <t xml:space="preserve">published</t>
        </is>
      </c>
      <c r="D246" t="inlineStr">
        <is>
          <t xml:space="preserve">کارولین</t>
        </is>
      </c>
      <c r="F246" t="inlineStr">
        <is>
          <t xml:space="preserve">آینه رومیزی کارولین</t>
        </is>
      </c>
      <c r="G246" t="inlineStr">
        <is>
          <t xml:space="preserve">caroline-table-mirror</t>
        </is>
      </c>
      <c r="H246" t="inlineStr">
        <is>
          <t xml:space="preserve">caroline-table-mirror</t>
        </is>
      </c>
      <c r="I246" t="inlineStr">
        <is>
          <t xml:space="preserve">baby, double, teen</t>
        </is>
      </c>
      <c r="J246" t="n">
        <v>236610000</v>
      </c>
      <c r="L246" t="n">
        <v>14</v>
      </c>
      <c r="M246" t="n">
        <v>5</v>
      </c>
      <c r="N246" t="n">
        <v>5</v>
      </c>
      <c r="O246" t="inlineStr">
        <is>
          <t xml:space="preserve">in_stock</t>
        </is>
      </c>
      <c r="P246" t="inlineStr">
        <is>
          <t xml:space="preserve">width:60 · height:70 · depth:5</t>
        </is>
      </c>
      <c r="R246" t="inlineStr">
        <is>
          <t xml:space="preserve">آینه رومیزی</t>
        </is>
      </c>
      <c r="X246" t="n">
        <v>1</v>
      </c>
      <c r="Y246" t="inlineStr">
        <is>
          <t xml:space="preserve">caroline-table-mirror.webp</t>
        </is>
      </c>
      <c r="Z246" t="inlineStr">
        <is>
          <t xml:space="preserve">http://80.240.31.146:3000/api/media/file/caroline-table-mirror.webp</t>
        </is>
      </c>
    </row>
    <row r="247" ht="48" customHeight="1">
      <c r="A247">
        <f>IMAGE("http://80.240.31.146:3000/_next/image?url=%2Fapi%2Fmedia%2Ffile%2Fcaroline-study-desk.webp&amp;w=256&amp;q=75",4,60,80)</f>
      </c>
      <c r="B247" t="n">
        <v>333</v>
      </c>
      <c r="C247" t="inlineStr">
        <is>
          <t xml:space="preserve">published</t>
        </is>
      </c>
      <c r="D247" t="inlineStr">
        <is>
          <t xml:space="preserve">کارولین</t>
        </is>
      </c>
      <c r="F247" t="inlineStr">
        <is>
          <t xml:space="preserve">میز تحریر کارولین</t>
        </is>
      </c>
      <c r="G247" t="inlineStr">
        <is>
          <t xml:space="preserve">caroline-study-desk</t>
        </is>
      </c>
      <c r="H247" t="inlineStr">
        <is>
          <t xml:space="preserve">caroline-study-desk</t>
        </is>
      </c>
      <c r="I247" t="inlineStr">
        <is>
          <t xml:space="preserve">baby, double, teen</t>
        </is>
      </c>
      <c r="J247" t="n">
        <v>709730000</v>
      </c>
      <c r="L247" t="n">
        <v>14</v>
      </c>
      <c r="M247" t="n">
        <v>5</v>
      </c>
      <c r="N247" t="n">
        <v>5</v>
      </c>
      <c r="O247" t="inlineStr">
        <is>
          <t xml:space="preserve">in_stock</t>
        </is>
      </c>
      <c r="P247" t="inlineStr">
        <is>
          <t xml:space="preserve">width:120 · height:75 · depth:60</t>
        </is>
      </c>
      <c r="R247" t="inlineStr">
        <is>
          <t xml:space="preserve">میز تحریر</t>
        </is>
      </c>
      <c r="X247" t="n">
        <v>1</v>
      </c>
      <c r="Y247" t="inlineStr">
        <is>
          <t xml:space="preserve">caroline-study-desk.webp</t>
        </is>
      </c>
      <c r="Z247" t="inlineStr">
        <is>
          <t xml:space="preserve">http://80.240.31.146:3000/api/media/file/caroline-study-desk.webp</t>
        </is>
      </c>
    </row>
    <row r="248" ht="48" customHeight="1">
      <c r="B248" t="n">
        <v>332</v>
      </c>
      <c r="C248" t="inlineStr">
        <is>
          <t xml:space="preserve">draft</t>
        </is>
      </c>
      <c r="D248" t="inlineStr">
        <is>
          <t xml:space="preserve">کارولین</t>
        </is>
      </c>
      <c r="F248" t="inlineStr">
        <is>
          <t xml:space="preserve">صندلی میز تحریر کارولین</t>
        </is>
      </c>
      <c r="G248" t="inlineStr">
        <is>
          <t xml:space="preserve">caroline-study-chair</t>
        </is>
      </c>
      <c r="H248" t="inlineStr">
        <is>
          <t xml:space="preserve">caroline-study-chair</t>
        </is>
      </c>
      <c r="I248" t="inlineStr">
        <is>
          <t xml:space="preserve">baby, double, teen</t>
        </is>
      </c>
      <c r="J248" t="n">
        <v>0</v>
      </c>
      <c r="L248" t="n">
        <v>14</v>
      </c>
      <c r="M248" t="n">
        <v>5</v>
      </c>
      <c r="N248" t="n">
        <v>5</v>
      </c>
      <c r="O248" t="inlineStr">
        <is>
          <t xml:space="preserve">made_to_order</t>
        </is>
      </c>
      <c r="P248" t="inlineStr">
        <is>
          <t xml:space="preserve">width:50 · height:85 · depth:50</t>
        </is>
      </c>
      <c r="R248" t="inlineStr">
        <is>
          <t xml:space="preserve">صندلی میز تحریر</t>
        </is>
      </c>
      <c r="X248" t="n">
        <v>0</v>
      </c>
    </row>
    <row r="249" ht="48" customHeight="1">
      <c r="A249">
        <f>IMAGE("http://80.240.31.146:3000/_next/image?url=%2Fapi%2Fmedia%2Ffile%2Fcaroline-standing-mirror.webp&amp;w=256&amp;q=75",4,60,80)</f>
      </c>
      <c r="B249" t="n">
        <v>331</v>
      </c>
      <c r="C249" t="inlineStr">
        <is>
          <t xml:space="preserve">published</t>
        </is>
      </c>
      <c r="D249" t="inlineStr">
        <is>
          <t xml:space="preserve">کارولین</t>
        </is>
      </c>
      <c r="F249" t="inlineStr">
        <is>
          <t xml:space="preserve">آینه قدی کارولین</t>
        </is>
      </c>
      <c r="G249" t="inlineStr">
        <is>
          <t xml:space="preserve">caroline-standing-mirror</t>
        </is>
      </c>
      <c r="H249" t="inlineStr">
        <is>
          <t xml:space="preserve">caroline-standing-mirror</t>
        </is>
      </c>
      <c r="I249" t="inlineStr">
        <is>
          <t xml:space="preserve">baby, double, teen</t>
        </is>
      </c>
      <c r="J249" t="n">
        <v>294330000</v>
      </c>
      <c r="L249" t="n">
        <v>14</v>
      </c>
      <c r="M249" t="n">
        <v>5</v>
      </c>
      <c r="N249" t="n">
        <v>5</v>
      </c>
      <c r="O249" t="inlineStr">
        <is>
          <t xml:space="preserve">in_stock</t>
        </is>
      </c>
      <c r="P249" t="inlineStr">
        <is>
          <t xml:space="preserve">width:60 · height:180 · depth:5</t>
        </is>
      </c>
      <c r="R249" t="inlineStr">
        <is>
          <t xml:space="preserve">آینه قدی</t>
        </is>
      </c>
      <c r="X249" t="n">
        <v>1</v>
      </c>
      <c r="Y249" t="inlineStr">
        <is>
          <t xml:space="preserve">caroline-standing-mirror.webp</t>
        </is>
      </c>
      <c r="Z249" t="inlineStr">
        <is>
          <t xml:space="preserve">http://80.240.31.146:3000/api/media/file/caroline-standing-mirror.webp</t>
        </is>
      </c>
    </row>
    <row r="250" ht="48" customHeight="1">
      <c r="A250">
        <f>IMAGE("http://80.240.31.146:3000/_next/image?url=%2Fapi%2Fmedia%2Ffile%2Fcaroline-single-bed-100.webp&amp;w=256&amp;q=75",4,60,80)</f>
      </c>
      <c r="B250" t="n">
        <v>330</v>
      </c>
      <c r="C250" t="inlineStr">
        <is>
          <t xml:space="preserve">published</t>
        </is>
      </c>
      <c r="D250" t="inlineStr">
        <is>
          <t xml:space="preserve">کارولین</t>
        </is>
      </c>
      <c r="F250" t="inlineStr">
        <is>
          <t xml:space="preserve">تخت یک نفره کارولین</t>
        </is>
      </c>
      <c r="G250" t="inlineStr">
        <is>
          <t xml:space="preserve">caroline-single-bed</t>
        </is>
      </c>
      <c r="H250" t="inlineStr">
        <is>
          <t xml:space="preserve">caroline-single-bed</t>
        </is>
      </c>
      <c r="I250" t="inlineStr">
        <is>
          <t xml:space="preserve">baby, double, teen</t>
        </is>
      </c>
      <c r="J250" t="n">
        <v>458710000</v>
      </c>
      <c r="L250" t="n">
        <v>14</v>
      </c>
      <c r="M250" t="n">
        <v>5</v>
      </c>
      <c r="N250" t="n">
        <v>5</v>
      </c>
      <c r="O250" t="inlineStr">
        <is>
          <t xml:space="preserve">in_stock</t>
        </is>
      </c>
      <c r="P250" t="inlineStr">
        <is>
          <t xml:space="preserve">width:100 · height:110 · depth:210</t>
        </is>
      </c>
      <c r="R250" t="inlineStr">
        <is>
          <t xml:space="preserve">تخت یک نفره</t>
        </is>
      </c>
      <c r="X250" t="n">
        <v>2</v>
      </c>
      <c r="Y250" t="inlineStr">
        <is>
          <t xml:space="preserve">caroline-single-bed-100.webp; caroline-single-bed-120.webp</t>
        </is>
      </c>
      <c r="Z250" t="inlineStr">
        <is>
          <t xml:space="preserve">http://80.240.31.146:3000/api/media/file/caroline-single-bed-100.webp; http://80.240.31.146:3000/api/media/file/caroline-single-bed-120.webp</t>
        </is>
      </c>
    </row>
    <row r="251" ht="48" customHeight="1">
      <c r="A251">
        <f>IMAGE("http://80.240.31.146:3000/_next/image?url=%2Fapi%2Fmedia%2Ffile%2Fcaroline-nightstand.webp&amp;w=256&amp;q=75",4,60,80)</f>
      </c>
      <c r="B251" t="n">
        <v>329</v>
      </c>
      <c r="C251" t="inlineStr">
        <is>
          <t xml:space="preserve">published</t>
        </is>
      </c>
      <c r="D251" t="inlineStr">
        <is>
          <t xml:space="preserve">کارولین</t>
        </is>
      </c>
      <c r="F251" t="inlineStr">
        <is>
          <t xml:space="preserve">پاتختی کارولین</t>
        </is>
      </c>
      <c r="G251" t="inlineStr">
        <is>
          <t xml:space="preserve">caroline-nightstand</t>
        </is>
      </c>
      <c r="H251" t="inlineStr">
        <is>
          <t xml:space="preserve">caroline-nightstand</t>
        </is>
      </c>
      <c r="I251" t="inlineStr">
        <is>
          <t xml:space="preserve">baby, double, teen</t>
        </is>
      </c>
      <c r="J251" t="n">
        <v>220630000</v>
      </c>
      <c r="L251" t="n">
        <v>14</v>
      </c>
      <c r="M251" t="n">
        <v>5</v>
      </c>
      <c r="N251" t="n">
        <v>5</v>
      </c>
      <c r="O251" t="inlineStr">
        <is>
          <t xml:space="preserve">in_stock</t>
        </is>
      </c>
      <c r="P251" t="inlineStr">
        <is>
          <t xml:space="preserve">width:50 · height:55 · depth:40</t>
        </is>
      </c>
      <c r="R251" t="inlineStr">
        <is>
          <t xml:space="preserve">پاتختی</t>
        </is>
      </c>
      <c r="X251" t="n">
        <v>1</v>
      </c>
      <c r="Y251" t="inlineStr">
        <is>
          <t xml:space="preserve">caroline-nightstand.webp</t>
        </is>
      </c>
      <c r="Z251" t="inlineStr">
        <is>
          <t xml:space="preserve">http://80.240.31.146:3000/api/media/file/caroline-nightstand.webp</t>
        </is>
      </c>
    </row>
    <row r="252" ht="48" customHeight="1">
      <c r="A252">
        <f>IMAGE("http://80.240.31.146:3000/_next/image?url=%2Fapi%2Fmedia%2Ffile%2Fcaroline-file-5-drawers.webp&amp;w=256&amp;q=75",4,60,80)</f>
      </c>
      <c r="B252" t="n">
        <v>328</v>
      </c>
      <c r="C252" t="inlineStr">
        <is>
          <t xml:space="preserve">published</t>
        </is>
      </c>
      <c r="D252" t="inlineStr">
        <is>
          <t xml:space="preserve">کارولین</t>
        </is>
      </c>
      <c r="F252" t="inlineStr">
        <is>
          <t xml:space="preserve">فایل کارولین</t>
        </is>
      </c>
      <c r="G252" t="inlineStr">
        <is>
          <t xml:space="preserve">caroline-file</t>
        </is>
      </c>
      <c r="H252" t="inlineStr">
        <is>
          <t xml:space="preserve">caroline-file</t>
        </is>
      </c>
      <c r="I252" t="inlineStr">
        <is>
          <t xml:space="preserve">baby, double, teen</t>
        </is>
      </c>
      <c r="J252" t="n">
        <v>500610000</v>
      </c>
      <c r="L252" t="n">
        <v>14</v>
      </c>
      <c r="M252" t="n">
        <v>5</v>
      </c>
      <c r="N252" t="n">
        <v>5</v>
      </c>
      <c r="O252" t="inlineStr">
        <is>
          <t xml:space="preserve">in_stock</t>
        </is>
      </c>
      <c r="P252" t="inlineStr">
        <is>
          <t xml:space="preserve">width:45 · height:120 · depth:50</t>
        </is>
      </c>
      <c r="R252" t="inlineStr">
        <is>
          <t xml:space="preserve">فایل</t>
        </is>
      </c>
      <c r="X252" t="n">
        <v>1</v>
      </c>
      <c r="Y252" t="inlineStr">
        <is>
          <t xml:space="preserve">caroline-file-5-drawers.webp</t>
        </is>
      </c>
      <c r="Z252" t="inlineStr">
        <is>
          <t xml:space="preserve">http://80.240.31.146:3000/api/media/file/caroline-file-5-drawers.webp</t>
        </is>
      </c>
    </row>
    <row r="253" ht="48" customHeight="1">
      <c r="A253">
        <f>IMAGE("http://80.240.31.146:3000/_next/image?url=%2Fapi%2Fmedia%2Ffile%2Fcaroline-double-bed-160.webp&amp;w=256&amp;q=75",4,60,80)</f>
      </c>
      <c r="B253" t="n">
        <v>327</v>
      </c>
      <c r="C253" t="inlineStr">
        <is>
          <t xml:space="preserve">published</t>
        </is>
      </c>
      <c r="D253" t="inlineStr">
        <is>
          <t xml:space="preserve">کارولین</t>
        </is>
      </c>
      <c r="F253" t="inlineStr">
        <is>
          <t xml:space="preserve">تخت دونفره کارولین</t>
        </is>
      </c>
      <c r="G253" t="inlineStr">
        <is>
          <t xml:space="preserve">caroline-double-bed</t>
        </is>
      </c>
      <c r="H253" t="inlineStr">
        <is>
          <t xml:space="preserve">caroline-double-bed</t>
        </is>
      </c>
      <c r="I253" t="inlineStr">
        <is>
          <t xml:space="preserve">baby, double, teen</t>
        </is>
      </c>
      <c r="J253" t="n">
        <v>601360000</v>
      </c>
      <c r="L253" t="n">
        <v>14</v>
      </c>
      <c r="M253" t="n">
        <v>5</v>
      </c>
      <c r="N253" t="n">
        <v>5</v>
      </c>
      <c r="O253" t="inlineStr">
        <is>
          <t xml:space="preserve">in_stock</t>
        </is>
      </c>
      <c r="P253" t="inlineStr">
        <is>
          <t xml:space="preserve">width:160 · height:110 · depth:215</t>
        </is>
      </c>
      <c r="R253" t="inlineStr">
        <is>
          <t xml:space="preserve">تخت دونفره</t>
        </is>
      </c>
      <c r="X253" t="n">
        <v>1</v>
      </c>
      <c r="Y253" t="inlineStr">
        <is>
          <t xml:space="preserve">caroline-double-bed-160.webp</t>
        </is>
      </c>
      <c r="Z253" t="inlineStr">
        <is>
          <t xml:space="preserve">http://80.240.31.146:3000/api/media/file/caroline-double-bed-160.webp</t>
        </is>
      </c>
    </row>
    <row r="254" ht="48" customHeight="1">
      <c r="A254">
        <f>IMAGE("http://80.240.31.146:3000/_next/image?url=%2Fapi%2Fmedia%2Ffile%2Fcaroline-convertible-bed-sofa.webp&amp;w=256&amp;q=75",4,60,80)</f>
      </c>
      <c r="B254" t="n">
        <v>326</v>
      </c>
      <c r="C254" t="inlineStr">
        <is>
          <t xml:space="preserve">draft</t>
        </is>
      </c>
      <c r="D254" t="inlineStr">
        <is>
          <t xml:space="preserve">کارولین</t>
        </is>
      </c>
      <c r="F254" t="inlineStr">
        <is>
          <t xml:space="preserve">تخت نوزاد دومنظوره کارولین</t>
        </is>
      </c>
      <c r="G254" t="inlineStr">
        <is>
          <t xml:space="preserve">caroline-convertible-bed</t>
        </is>
      </c>
      <c r="H254" t="inlineStr">
        <is>
          <t xml:space="preserve">caroline-convertible-bed</t>
        </is>
      </c>
      <c r="I254" t="inlineStr">
        <is>
          <t xml:space="preserve">baby, double, teen</t>
        </is>
      </c>
      <c r="J254" t="n">
        <v>0</v>
      </c>
      <c r="L254" t="n">
        <v>14</v>
      </c>
      <c r="M254" t="n">
        <v>5</v>
      </c>
      <c r="N254" t="n">
        <v>5</v>
      </c>
      <c r="O254" t="inlineStr">
        <is>
          <t xml:space="preserve">made_to_order</t>
        </is>
      </c>
      <c r="P254" t="inlineStr">
        <is>
          <t xml:space="preserve">width:90 · height:105 · depth:195</t>
        </is>
      </c>
      <c r="R254" t="inlineStr">
        <is>
          <t xml:space="preserve">تخت نوزاد دومظوره (نوزاد نوجوان، کاناپه ای)</t>
        </is>
      </c>
      <c r="X254" t="n">
        <v>1</v>
      </c>
      <c r="Y254" t="inlineStr">
        <is>
          <t xml:space="preserve">caroline-convertible-bed-sofa.webp</t>
        </is>
      </c>
      <c r="Z254" t="inlineStr">
        <is>
          <t xml:space="preserve">http://80.240.31.146:3000/api/media/file/caroline-convertible-bed-sofa.webp</t>
        </is>
      </c>
    </row>
    <row r="255" ht="48" customHeight="1">
      <c r="A255">
        <f>IMAGE("http://80.240.31.146:3000/_next/image?url=%2Fapi%2Fmedia%2Ffile%2Fcaroline-changing-top.webp&amp;w=256&amp;q=75",4,60,80)</f>
      </c>
      <c r="B255" t="n">
        <v>325</v>
      </c>
      <c r="C255" t="inlineStr">
        <is>
          <t xml:space="preserve">draft</t>
        </is>
      </c>
      <c r="D255" t="inlineStr">
        <is>
          <t xml:space="preserve">کارولین</t>
        </is>
      </c>
      <c r="F255" t="inlineStr">
        <is>
          <t xml:space="preserve">صفحه تعویض کارولین</t>
        </is>
      </c>
      <c r="G255" t="inlineStr">
        <is>
          <t xml:space="preserve">caroline-changing-top</t>
        </is>
      </c>
      <c r="H255" t="inlineStr">
        <is>
          <t xml:space="preserve">caroline-changing-top</t>
        </is>
      </c>
      <c r="I255" t="inlineStr">
        <is>
          <t xml:space="preserve">baby, double, teen</t>
        </is>
      </c>
      <c r="J255" t="n">
        <v>0</v>
      </c>
      <c r="L255" t="n">
        <v>14</v>
      </c>
      <c r="M255" t="n">
        <v>5</v>
      </c>
      <c r="N255" t="n">
        <v>5</v>
      </c>
      <c r="O255" t="inlineStr">
        <is>
          <t xml:space="preserve">made_to_order</t>
        </is>
      </c>
      <c r="P255" t="inlineStr">
        <is>
          <t xml:space="preserve">width:80 · height:8 · depth:55</t>
        </is>
      </c>
      <c r="R255" t="inlineStr">
        <is>
          <t xml:space="preserve">صفحه میز تعویض</t>
        </is>
      </c>
      <c r="X255" t="n">
        <v>1</v>
      </c>
      <c r="Y255" t="inlineStr">
        <is>
          <t xml:space="preserve">caroline-changing-top.webp</t>
        </is>
      </c>
      <c r="Z255" t="inlineStr">
        <is>
          <t xml:space="preserve">http://80.240.31.146:3000/api/media/file/caroline-changing-top.webp</t>
        </is>
      </c>
    </row>
    <row r="256" ht="48" customHeight="1">
      <c r="A256">
        <f>IMAGE("http://80.240.31.146:3000/_next/image?url=%2Fapi%2Fmedia%2Ffile%2Fcaroline-bookcase.webp&amp;w=256&amp;q=75",4,60,80)</f>
      </c>
      <c r="B256" t="n">
        <v>324</v>
      </c>
      <c r="C256" t="inlineStr">
        <is>
          <t xml:space="preserve">published</t>
        </is>
      </c>
      <c r="D256" t="inlineStr">
        <is>
          <t xml:space="preserve">کارولین</t>
        </is>
      </c>
      <c r="F256" t="inlineStr">
        <is>
          <t xml:space="preserve">کتابخانه کارولین</t>
        </is>
      </c>
      <c r="G256" t="inlineStr">
        <is>
          <t xml:space="preserve">caroline-bookcase</t>
        </is>
      </c>
      <c r="H256" t="inlineStr">
        <is>
          <t xml:space="preserve">caroline-bookcase</t>
        </is>
      </c>
      <c r="I256" t="inlineStr">
        <is>
          <t xml:space="preserve">baby, double, teen</t>
        </is>
      </c>
      <c r="J256" t="n">
        <v>642020000</v>
      </c>
      <c r="L256" t="n">
        <v>14</v>
      </c>
      <c r="M256" t="n">
        <v>5</v>
      </c>
      <c r="N256" t="n">
        <v>5</v>
      </c>
      <c r="O256" t="inlineStr">
        <is>
          <t xml:space="preserve">in_stock</t>
        </is>
      </c>
      <c r="P256" t="inlineStr">
        <is>
          <t xml:space="preserve">width:80 · height:200 · depth:35</t>
        </is>
      </c>
      <c r="R256" t="inlineStr">
        <is>
          <t xml:space="preserve">کتابخانه</t>
        </is>
      </c>
      <c r="X256" t="n">
        <v>1</v>
      </c>
      <c r="Y256" t="inlineStr">
        <is>
          <t xml:space="preserve">caroline-bookcase.webp</t>
        </is>
      </c>
      <c r="Z256" t="inlineStr">
        <is>
          <t xml:space="preserve">http://80.240.31.146:3000/api/media/file/caroline-bookcase.webp</t>
        </is>
      </c>
    </row>
    <row r="257" ht="48" customHeight="1">
      <c r="A257">
        <f>IMAGE("http://80.240.31.146:3000/_next/image?url=%2Fapi%2Fmedia%2Ffile%2Fcaroline-bed-box.webp&amp;w=256&amp;q=75",4,60,80)</f>
      </c>
      <c r="B257" t="n">
        <v>323</v>
      </c>
      <c r="C257" t="inlineStr">
        <is>
          <t xml:space="preserve">published</t>
        </is>
      </c>
      <c r="D257" t="inlineStr">
        <is>
          <t xml:space="preserve">کارولین</t>
        </is>
      </c>
      <c r="F257" t="inlineStr">
        <is>
          <t xml:space="preserve">باکس تخت کارولین</t>
        </is>
      </c>
      <c r="G257" t="inlineStr">
        <is>
          <t xml:space="preserve">caroline-bed-box</t>
        </is>
      </c>
      <c r="H257" t="inlineStr">
        <is>
          <t xml:space="preserve">caroline-bed-box</t>
        </is>
      </c>
      <c r="I257" t="inlineStr">
        <is>
          <t xml:space="preserve">baby, double, teen</t>
        </is>
      </c>
      <c r="J257" t="n">
        <v>331710000</v>
      </c>
      <c r="L257" t="n">
        <v>14</v>
      </c>
      <c r="M257" t="n">
        <v>5</v>
      </c>
      <c r="N257" t="n">
        <v>5</v>
      </c>
      <c r="O257" t="inlineStr">
        <is>
          <t xml:space="preserve">in_stock</t>
        </is>
      </c>
      <c r="P257" t="inlineStr">
        <is>
          <t xml:space="preserve">width:120 · height:110 · depth:210</t>
        </is>
      </c>
      <c r="R257" t="inlineStr">
        <is>
          <t xml:space="preserve">باکس تخت</t>
        </is>
      </c>
      <c r="X257" t="n">
        <v>1</v>
      </c>
      <c r="Y257" t="inlineStr">
        <is>
          <t xml:space="preserve">caroline-bed-box.webp</t>
        </is>
      </c>
      <c r="Z257" t="inlineStr">
        <is>
          <t xml:space="preserve">http://80.240.31.146:3000/api/media/file/caroline-bed-box.webp</t>
        </is>
      </c>
    </row>
    <row r="258" ht="48" customHeight="1">
      <c r="A258">
        <f>IMAGE("http://80.240.31.146:3000/_next/image?url=%2Fapi%2Fmedia%2Ffile%2Fbw-wardrobe-1-doors-glass-v2.webp&amp;w=256&amp;q=75",4,60,80)</f>
      </c>
      <c r="B258" t="n">
        <v>322</v>
      </c>
      <c r="C258" t="inlineStr">
        <is>
          <t xml:space="preserve">published</t>
        </is>
      </c>
      <c r="D258" t="inlineStr">
        <is>
          <t xml:space="preserve">بلک اند وایت</t>
        </is>
      </c>
      <c r="F258" t="inlineStr">
        <is>
          <t xml:space="preserve">کمد بلک اند وایت</t>
        </is>
      </c>
      <c r="G258" t="inlineStr">
        <is>
          <t xml:space="preserve">bw-wardrobe</t>
        </is>
      </c>
      <c r="H258" t="inlineStr">
        <is>
          <t xml:space="preserve">bw-wardrobe</t>
        </is>
      </c>
      <c r="I258" t="inlineStr">
        <is>
          <t xml:space="preserve">teen</t>
        </is>
      </c>
      <c r="J258" t="n">
        <v>581360000</v>
      </c>
      <c r="L258" t="n">
        <v>14</v>
      </c>
      <c r="M258" t="n">
        <v>5</v>
      </c>
      <c r="N258" t="n">
        <v>5</v>
      </c>
      <c r="O258" t="inlineStr">
        <is>
          <t xml:space="preserve">in_stock</t>
        </is>
      </c>
      <c r="P258" t="inlineStr">
        <is>
          <t xml:space="preserve">width:120 · height:220 · depth:60</t>
        </is>
      </c>
      <c r="R258" t="inlineStr">
        <is>
          <t xml:space="preserve">کمد</t>
        </is>
      </c>
      <c r="X258" t="n">
        <v>9</v>
      </c>
      <c r="Y258" t="inlineStr">
        <is>
          <t xml:space="preserve">bw-wardrobe-1-doors-glass-v2.webp; bw-wardrobe-1-doors-glass.webp; bw-wardrobe-1-doors-mdf.webp; bw-wardrobe-2-doors-glass.webp; bw-wardrobe-2-doors-mdf.webp; bw-wardrobe-1-doors-glass-picture.webp; bw-wardrobe-1-doors-mdf-picture.webp; bw-wardrobe-2-doors-mdf-picture-v2.webp; bw-wardrobe-2-doors-mdf-picture.webp</t>
        </is>
      </c>
      <c r="Z258" t="inlineStr">
        <is>
          <t xml:space="preserve">http://80.240.31.146:3000/api/media/file/bw-wardrobe-1-doors-glass-v2.webp; http://80.240.31.146:3000/api/media/file/bw-wardrobe-1-doors-glass.webp; http://80.240.31.146:3000/api/media/file/bw-wardrobe-1-doors-mdf.webp; http://80.240.31.146:3000/api/media/file/bw-wardrobe-2-doors-glass.webp; http://80.240.31.146:3000/api/media/file/bw-wardrobe-2-doors-mdf.webp; http://80.240.31.146:3000/api/media/file/bw-wardrobe-1-doors-glass-picture.webp; http://80.240.31.146:3000/api/media/file/bw-wardrobe-1-doors-mdf-picture.webp; http://80.240.31.146:3000/api/media/file/bw-wardrobe-2-doors-mdf-picture-v2.webp; http://80.240.31.146:3000/api/media/file/bw-wardrobe-2-doors-mdf-picture.webp</t>
        </is>
      </c>
    </row>
    <row r="259" ht="48" customHeight="1">
      <c r="A259">
        <f>IMAGE("http://80.240.31.146:3000/_next/image?url=%2Fapi%2Fmedia%2Ffile%2Fbw-wall-shelf.webp&amp;w=256&amp;q=75",4,60,80)</f>
      </c>
      <c r="B259" t="n">
        <v>321</v>
      </c>
      <c r="C259" t="inlineStr">
        <is>
          <t xml:space="preserve">published</t>
        </is>
      </c>
      <c r="D259" t="inlineStr">
        <is>
          <t xml:space="preserve">بلک اند وایت</t>
        </is>
      </c>
      <c r="F259" t="inlineStr">
        <is>
          <t xml:space="preserve">شلف دیواری بلک اند وایت</t>
        </is>
      </c>
      <c r="G259" t="inlineStr">
        <is>
          <t xml:space="preserve">bw-wall-shelf</t>
        </is>
      </c>
      <c r="H259" t="inlineStr">
        <is>
          <t xml:space="preserve">bw-wall-shelf</t>
        </is>
      </c>
      <c r="I259" t="inlineStr">
        <is>
          <t xml:space="preserve">teen</t>
        </is>
      </c>
      <c r="J259" t="n">
        <v>103170000</v>
      </c>
      <c r="L259" t="n">
        <v>14</v>
      </c>
      <c r="M259" t="n">
        <v>5</v>
      </c>
      <c r="N259" t="n">
        <v>5</v>
      </c>
      <c r="O259" t="inlineStr">
        <is>
          <t xml:space="preserve">in_stock</t>
        </is>
      </c>
      <c r="P259" t="inlineStr">
        <is>
          <t xml:space="preserve">width:80 · height:25 · depth:25</t>
        </is>
      </c>
      <c r="R259" t="inlineStr">
        <is>
          <t xml:space="preserve">شلف دیواری (براکت)</t>
        </is>
      </c>
      <c r="X259" t="n">
        <v>1</v>
      </c>
      <c r="Y259" t="inlineStr">
        <is>
          <t xml:space="preserve">bw-wall-shelf.webp</t>
        </is>
      </c>
      <c r="Z259" t="inlineStr">
        <is>
          <t xml:space="preserve">http://80.240.31.146:3000/api/media/file/bw-wall-shelf.webp</t>
        </is>
      </c>
    </row>
    <row r="260" ht="48" customHeight="1">
      <c r="A260">
        <f>IMAGE("http://80.240.31.146:3000/_next/image?url=%2Fapi%2Fmedia%2Ffile%2Fbw-wall-mirror-round.webp&amp;w=256&amp;q=75",4,60,80)</f>
      </c>
      <c r="B260" t="n">
        <v>320</v>
      </c>
      <c r="C260" t="inlineStr">
        <is>
          <t xml:space="preserve">published</t>
        </is>
      </c>
      <c r="D260" t="inlineStr">
        <is>
          <t xml:space="preserve">بلک اند وایت</t>
        </is>
      </c>
      <c r="F260" t="inlineStr">
        <is>
          <t xml:space="preserve">آینه دیواری بلک اند وایت</t>
        </is>
      </c>
      <c r="G260" t="inlineStr">
        <is>
          <t xml:space="preserve">bw-wall-mirror</t>
        </is>
      </c>
      <c r="H260" t="inlineStr">
        <is>
          <t xml:space="preserve">bw-wall-mirror</t>
        </is>
      </c>
      <c r="I260" t="inlineStr">
        <is>
          <t xml:space="preserve">teen</t>
        </is>
      </c>
      <c r="J260" t="n">
        <v>140640000</v>
      </c>
      <c r="L260" t="n">
        <v>14</v>
      </c>
      <c r="M260" t="n">
        <v>5</v>
      </c>
      <c r="N260" t="n">
        <v>5</v>
      </c>
      <c r="O260" t="inlineStr">
        <is>
          <t xml:space="preserve">in_stock</t>
        </is>
      </c>
      <c r="P260" t="inlineStr">
        <is>
          <t xml:space="preserve">width:80 · height:100 · depth:5</t>
        </is>
      </c>
      <c r="R260" t="inlineStr">
        <is>
          <t xml:space="preserve">آینه دیواری</t>
        </is>
      </c>
      <c r="X260" t="n">
        <v>1</v>
      </c>
      <c r="Y260" t="inlineStr">
        <is>
          <t xml:space="preserve">bw-wall-mirror-round.webp</t>
        </is>
      </c>
      <c r="Z260" t="inlineStr">
        <is>
          <t xml:space="preserve">http://80.240.31.146:3000/api/media/file/bw-wall-mirror-round.webp</t>
        </is>
      </c>
    </row>
    <row r="261" ht="48" customHeight="1">
      <c r="B261" t="n">
        <v>319</v>
      </c>
      <c r="C261" t="inlineStr">
        <is>
          <t xml:space="preserve">draft</t>
        </is>
      </c>
      <c r="D261" t="inlineStr">
        <is>
          <t xml:space="preserve">بلک اند وایت</t>
        </is>
      </c>
      <c r="F261" t="inlineStr">
        <is>
          <t xml:space="preserve">صندلی میز آرایش بلک اند وایت</t>
        </is>
      </c>
      <c r="G261" t="inlineStr">
        <is>
          <t xml:space="preserve">bw-vanity-chair</t>
        </is>
      </c>
      <c r="H261" t="inlineStr">
        <is>
          <t xml:space="preserve">bw-vanity-chair</t>
        </is>
      </c>
      <c r="I261" t="inlineStr">
        <is>
          <t xml:space="preserve">teen</t>
        </is>
      </c>
      <c r="J261" t="n">
        <v>0</v>
      </c>
      <c r="L261" t="n">
        <v>14</v>
      </c>
      <c r="M261" t="n">
        <v>5</v>
      </c>
      <c r="N261" t="n">
        <v>5</v>
      </c>
      <c r="O261" t="inlineStr">
        <is>
          <t xml:space="preserve">made_to_order</t>
        </is>
      </c>
      <c r="P261" t="inlineStr">
        <is>
          <t xml:space="preserve">width:100 · height:78 · depth:45</t>
        </is>
      </c>
      <c r="R261" t="inlineStr">
        <is>
          <t xml:space="preserve">صندلی میز آرایش</t>
        </is>
      </c>
      <c r="X261" t="n">
        <v>0</v>
      </c>
    </row>
    <row r="262" ht="48" customHeight="1">
      <c r="A262">
        <f>IMAGE("http://80.240.31.146:3000/_next/image?url=%2Fapi%2Fmedia%2Ffile%2Fbw-vanity-3-drawers.webp&amp;w=256&amp;q=75",4,60,80)</f>
      </c>
      <c r="B262" t="n">
        <v>318</v>
      </c>
      <c r="C262" t="inlineStr">
        <is>
          <t xml:space="preserve">draft</t>
        </is>
      </c>
      <c r="D262" t="inlineStr">
        <is>
          <t xml:space="preserve">بلک اند وایت</t>
        </is>
      </c>
      <c r="F262" t="inlineStr">
        <is>
          <t xml:space="preserve">میز آرایش بلک اند وایت</t>
        </is>
      </c>
      <c r="G262" t="inlineStr">
        <is>
          <t xml:space="preserve">bw-vanity</t>
        </is>
      </c>
      <c r="H262" t="inlineStr">
        <is>
          <t xml:space="preserve">bw-vanity</t>
        </is>
      </c>
      <c r="I262" t="inlineStr">
        <is>
          <t xml:space="preserve">teen</t>
        </is>
      </c>
      <c r="J262" t="n">
        <v>0</v>
      </c>
      <c r="L262" t="n">
        <v>14</v>
      </c>
      <c r="M262" t="n">
        <v>5</v>
      </c>
      <c r="N262" t="n">
        <v>5</v>
      </c>
      <c r="O262" t="inlineStr">
        <is>
          <t xml:space="preserve">made_to_order</t>
        </is>
      </c>
      <c r="P262" t="inlineStr">
        <is>
          <t xml:space="preserve">width:100 · height:78 · depth:45</t>
        </is>
      </c>
      <c r="R262" t="inlineStr">
        <is>
          <t xml:space="preserve">میز آرایش</t>
        </is>
      </c>
      <c r="X262" t="n">
        <v>6</v>
      </c>
      <c r="Y262" t="inlineStr">
        <is>
          <t xml:space="preserve">bw-vanity-3-drawers.webp; bw-vanity-3-drawers-picture-v2.webp; bw-vanity-3-drawers-picture-v3.webp; bw-vanity-3-drawers-picture-v4.webp; bw-vanity-3-drawers-picture-v5.webp; bw-vanity-3-drawers-picture.webp</t>
        </is>
      </c>
      <c r="Z262" t="inlineStr">
        <is>
          <t xml:space="preserve">http://80.240.31.146:3000/api/media/file/bw-vanity-3-drawers.webp; http://80.240.31.146:3000/api/media/file/bw-vanity-3-drawers-picture-v2.webp; http://80.240.31.146:3000/api/media/file/bw-vanity-3-drawers-picture-v3.webp; http://80.240.31.146:3000/api/media/file/bw-vanity-3-drawers-picture-v4.webp; http://80.240.31.146:3000/api/media/file/bw-vanity-3-drawers-picture-v5.webp; http://80.240.31.146:3000/api/media/file/bw-vanity-3-drawers-picture.webp</t>
        </is>
      </c>
    </row>
    <row r="263" ht="48" customHeight="1">
      <c r="A263">
        <f>IMAGE("http://80.240.31.146:3000/_next/image?url=%2Fapi%2Fmedia%2Ffile%2Fbw-table-mirror.webp&amp;w=256&amp;q=75",4,60,80)</f>
      </c>
      <c r="B263" t="n">
        <v>317</v>
      </c>
      <c r="C263" t="inlineStr">
        <is>
          <t xml:space="preserve">draft</t>
        </is>
      </c>
      <c r="D263" t="inlineStr">
        <is>
          <t xml:space="preserve">بلک اند وایت</t>
        </is>
      </c>
      <c r="F263" t="inlineStr">
        <is>
          <t xml:space="preserve">آینه رومیزی بلک اند وایت</t>
        </is>
      </c>
      <c r="G263" t="inlineStr">
        <is>
          <t xml:space="preserve">bw-table-mirror</t>
        </is>
      </c>
      <c r="H263" t="inlineStr">
        <is>
          <t xml:space="preserve">bw-table-mirror</t>
        </is>
      </c>
      <c r="I263" t="inlineStr">
        <is>
          <t xml:space="preserve">teen</t>
        </is>
      </c>
      <c r="J263" t="n">
        <v>0</v>
      </c>
      <c r="L263" t="n">
        <v>14</v>
      </c>
      <c r="M263" t="n">
        <v>5</v>
      </c>
      <c r="N263" t="n">
        <v>5</v>
      </c>
      <c r="O263" t="inlineStr">
        <is>
          <t xml:space="preserve">made_to_order</t>
        </is>
      </c>
      <c r="P263" t="inlineStr">
        <is>
          <t xml:space="preserve">width:60 · height:70 · depth:5</t>
        </is>
      </c>
      <c r="R263" t="inlineStr">
        <is>
          <t xml:space="preserve">آینه رومیزی</t>
        </is>
      </c>
      <c r="X263" t="n">
        <v>1</v>
      </c>
      <c r="Y263" t="inlineStr">
        <is>
          <t xml:space="preserve">bw-table-mirror.webp</t>
        </is>
      </c>
      <c r="Z263" t="inlineStr">
        <is>
          <t xml:space="preserve">http://80.240.31.146:3000/api/media/file/bw-table-mirror.webp</t>
        </is>
      </c>
    </row>
    <row r="264" ht="48" customHeight="1">
      <c r="A264">
        <f>IMAGE("http://80.240.31.146:3000/_next/image?url=%2Fapi%2Fmedia%2Ffile%2Fbw-study-desk.webp&amp;w=256&amp;q=75",4,60,80)</f>
      </c>
      <c r="B264" t="n">
        <v>316</v>
      </c>
      <c r="C264" t="inlineStr">
        <is>
          <t xml:space="preserve">published</t>
        </is>
      </c>
      <c r="D264" t="inlineStr">
        <is>
          <t xml:space="preserve">بلک اند وایت</t>
        </is>
      </c>
      <c r="F264" t="inlineStr">
        <is>
          <t xml:space="preserve">میز تحریر بلک اند وایت</t>
        </is>
      </c>
      <c r="G264" t="inlineStr">
        <is>
          <t xml:space="preserve">bw-study-desk</t>
        </is>
      </c>
      <c r="H264" t="inlineStr">
        <is>
          <t xml:space="preserve">bw-study-desk</t>
        </is>
      </c>
      <c r="I264" t="inlineStr">
        <is>
          <t xml:space="preserve">teen</t>
        </is>
      </c>
      <c r="J264" t="n">
        <v>481460000</v>
      </c>
      <c r="L264" t="n">
        <v>14</v>
      </c>
      <c r="M264" t="n">
        <v>5</v>
      </c>
      <c r="N264" t="n">
        <v>5</v>
      </c>
      <c r="O264" t="inlineStr">
        <is>
          <t xml:space="preserve">in_stock</t>
        </is>
      </c>
      <c r="P264" t="inlineStr">
        <is>
          <t xml:space="preserve">width:120 · height:75 · depth:60</t>
        </is>
      </c>
      <c r="R264" t="inlineStr">
        <is>
          <t xml:space="preserve">میز تحریر</t>
        </is>
      </c>
      <c r="X264" t="n">
        <v>3</v>
      </c>
      <c r="Y264" t="inlineStr">
        <is>
          <t xml:space="preserve">bw-study-desk.webp; bw-study-desk-picture-v2.webp; bw-study-desk-picture.webp</t>
        </is>
      </c>
      <c r="Z264" t="inlineStr">
        <is>
          <t xml:space="preserve">http://80.240.31.146:3000/api/media/file/bw-study-desk.webp; http://80.240.31.146:3000/api/media/file/bw-study-desk-picture-v2.webp; http://80.240.31.146:3000/api/media/file/bw-study-desk-picture.webp</t>
        </is>
      </c>
    </row>
    <row r="265" ht="48" customHeight="1">
      <c r="B265" t="n">
        <v>315</v>
      </c>
      <c r="C265" t="inlineStr">
        <is>
          <t xml:space="preserve">draft</t>
        </is>
      </c>
      <c r="D265" t="inlineStr">
        <is>
          <t xml:space="preserve">بلک اند وایت</t>
        </is>
      </c>
      <c r="F265" t="inlineStr">
        <is>
          <t xml:space="preserve">صندلی میز تحریر بلک اند وایت</t>
        </is>
      </c>
      <c r="G265" t="inlineStr">
        <is>
          <t xml:space="preserve">bw-study-chair</t>
        </is>
      </c>
      <c r="H265" t="inlineStr">
        <is>
          <t xml:space="preserve">bw-study-chair</t>
        </is>
      </c>
      <c r="I265" t="inlineStr">
        <is>
          <t xml:space="preserve">teen</t>
        </is>
      </c>
      <c r="J265" t="n">
        <v>0</v>
      </c>
      <c r="L265" t="n">
        <v>14</v>
      </c>
      <c r="M265" t="n">
        <v>5</v>
      </c>
      <c r="N265" t="n">
        <v>5</v>
      </c>
      <c r="O265" t="inlineStr">
        <is>
          <t xml:space="preserve">made_to_order</t>
        </is>
      </c>
      <c r="P265" t="inlineStr">
        <is>
          <t xml:space="preserve">width:50 · height:85 · depth:50</t>
        </is>
      </c>
      <c r="R265" t="inlineStr">
        <is>
          <t xml:space="preserve">صندلی میز تحریر</t>
        </is>
      </c>
      <c r="X265" t="n">
        <v>0</v>
      </c>
    </row>
    <row r="266" ht="48" customHeight="1">
      <c r="A266">
        <f>IMAGE("http://80.240.31.146:3000/_next/image?url=%2Fapi%2Fmedia%2Ffile%2Fbw-standing-mirror.webp&amp;w=256&amp;q=75",4,60,80)</f>
      </c>
      <c r="B266" t="n">
        <v>314</v>
      </c>
      <c r="C266" t="inlineStr">
        <is>
          <t xml:space="preserve">published</t>
        </is>
      </c>
      <c r="D266" t="inlineStr">
        <is>
          <t xml:space="preserve">بلک اند وایت</t>
        </is>
      </c>
      <c r="F266" t="inlineStr">
        <is>
          <t xml:space="preserve">آینه قدی بلک اند وایت</t>
        </is>
      </c>
      <c r="G266" t="inlineStr">
        <is>
          <t xml:space="preserve">bw-standing-mirror</t>
        </is>
      </c>
      <c r="H266" t="inlineStr">
        <is>
          <t xml:space="preserve">bw-standing-mirror</t>
        </is>
      </c>
      <c r="I266" t="inlineStr">
        <is>
          <t xml:space="preserve">teen</t>
        </is>
      </c>
      <c r="J266" t="n">
        <v>467610000</v>
      </c>
      <c r="L266" t="n">
        <v>14</v>
      </c>
      <c r="M266" t="n">
        <v>5</v>
      </c>
      <c r="N266" t="n">
        <v>5</v>
      </c>
      <c r="O266" t="inlineStr">
        <is>
          <t xml:space="preserve">in_stock</t>
        </is>
      </c>
      <c r="P266" t="inlineStr">
        <is>
          <t xml:space="preserve">width:60 · height:180 · depth:5</t>
        </is>
      </c>
      <c r="R266" t="inlineStr">
        <is>
          <t xml:space="preserve">آینه قدی</t>
        </is>
      </c>
      <c r="X266" t="n">
        <v>2</v>
      </c>
      <c r="Y266" t="inlineStr">
        <is>
          <t xml:space="preserve">bw-standing-mirror.webp; bw-standing-mirror-picture.webp</t>
        </is>
      </c>
      <c r="Z266" t="inlineStr">
        <is>
          <t xml:space="preserve">http://80.240.31.146:3000/api/media/file/bw-standing-mirror.webp; http://80.240.31.146:3000/api/media/file/bw-standing-mirror-picture.webp</t>
        </is>
      </c>
    </row>
    <row r="267" ht="48" customHeight="1">
      <c r="A267">
        <f>IMAGE("http://80.240.31.146:3000/_next/image?url=%2Fapi%2Fmedia%2Ffile%2Fbw-single-bed-100.webp&amp;w=256&amp;q=75",4,60,80)</f>
      </c>
      <c r="B267" t="n">
        <v>313</v>
      </c>
      <c r="C267" t="inlineStr">
        <is>
          <t xml:space="preserve">published</t>
        </is>
      </c>
      <c r="D267" t="inlineStr">
        <is>
          <t xml:space="preserve">بلک اند وایت</t>
        </is>
      </c>
      <c r="F267" t="inlineStr">
        <is>
          <t xml:space="preserve">تخت یک نفره بلک اند وایت</t>
        </is>
      </c>
      <c r="G267" t="inlineStr">
        <is>
          <t xml:space="preserve">bw-single-bed</t>
        </is>
      </c>
      <c r="H267" t="inlineStr">
        <is>
          <t xml:space="preserve">bw-single-bed</t>
        </is>
      </c>
      <c r="I267" t="inlineStr">
        <is>
          <t xml:space="preserve">teen</t>
        </is>
      </c>
      <c r="J267" t="n">
        <v>431750000</v>
      </c>
      <c r="L267" t="n">
        <v>14</v>
      </c>
      <c r="M267" t="n">
        <v>5</v>
      </c>
      <c r="N267" t="n">
        <v>5</v>
      </c>
      <c r="O267" t="inlineStr">
        <is>
          <t xml:space="preserve">in_stock</t>
        </is>
      </c>
      <c r="P267" t="inlineStr">
        <is>
          <t xml:space="preserve">width:100 · height:110 · depth:210</t>
        </is>
      </c>
      <c r="R267" t="inlineStr">
        <is>
          <t xml:space="preserve">تخت یک نفره</t>
        </is>
      </c>
      <c r="X267" t="n">
        <v>3</v>
      </c>
      <c r="Y267" t="inlineStr">
        <is>
          <t xml:space="preserve">bw-single-bed-100.webp; bw-single-bed-120-picture-v2.webp; bw-single-bed-120-picture.webp</t>
        </is>
      </c>
      <c r="Z267" t="inlineStr">
        <is>
          <t xml:space="preserve">http://80.240.31.146:3000/api/media/file/bw-single-bed-100.webp; http://80.240.31.146:3000/api/media/file/bw-single-bed-120-picture-v2.webp; http://80.240.31.146:3000/api/media/file/bw-single-bed-120-picture.webp</t>
        </is>
      </c>
    </row>
    <row r="268" ht="48" customHeight="1">
      <c r="A268">
        <f>IMAGE("http://80.240.31.146:3000/_next/image?url=%2Fapi%2Fmedia%2Ffile%2Fbw-nightstand.webp&amp;w=256&amp;q=75",4,60,80)</f>
      </c>
      <c r="B268" t="n">
        <v>312</v>
      </c>
      <c r="C268" t="inlineStr">
        <is>
          <t xml:space="preserve">published</t>
        </is>
      </c>
      <c r="D268" t="inlineStr">
        <is>
          <t xml:space="preserve">بلک اند وایت</t>
        </is>
      </c>
      <c r="F268" t="inlineStr">
        <is>
          <t xml:space="preserve">پاتختی بلک اند وایت</t>
        </is>
      </c>
      <c r="G268" t="inlineStr">
        <is>
          <t xml:space="preserve">bw-nightstand</t>
        </is>
      </c>
      <c r="H268" t="inlineStr">
        <is>
          <t xml:space="preserve">bw-nightstand</t>
        </is>
      </c>
      <c r="I268" t="inlineStr">
        <is>
          <t xml:space="preserve">teen</t>
        </is>
      </c>
      <c r="J268" t="n">
        <v>155360000</v>
      </c>
      <c r="L268" t="n">
        <v>14</v>
      </c>
      <c r="M268" t="n">
        <v>5</v>
      </c>
      <c r="N268" t="n">
        <v>5</v>
      </c>
      <c r="O268" t="inlineStr">
        <is>
          <t xml:space="preserve">in_stock</t>
        </is>
      </c>
      <c r="P268" t="inlineStr">
        <is>
          <t xml:space="preserve">width:50 · height:55 · depth:40</t>
        </is>
      </c>
      <c r="R268" t="inlineStr">
        <is>
          <t xml:space="preserve">پاتختی</t>
        </is>
      </c>
      <c r="X268" t="n">
        <v>3</v>
      </c>
      <c r="Y268" t="inlineStr">
        <is>
          <t xml:space="preserve">bw-nightstand.webp; bw-nightstand-picture-v2.webp; bw-nightstand-picture.webp</t>
        </is>
      </c>
      <c r="Z268" t="inlineStr">
        <is>
          <t xml:space="preserve">http://80.240.31.146:3000/api/media/file/bw-nightstand.webp; http://80.240.31.146:3000/api/media/file/bw-nightstand-picture-v2.webp; http://80.240.31.146:3000/api/media/file/bw-nightstand-picture.webp</t>
        </is>
      </c>
    </row>
    <row r="269" ht="48" customHeight="1">
      <c r="A269">
        <f>IMAGE("http://80.240.31.146:3000/_next/image?url=%2Fapi%2Fmedia%2Ffile%2Fbw-bookcase.webp&amp;w=256&amp;q=75",4,60,80)</f>
      </c>
      <c r="B269" t="n">
        <v>311</v>
      </c>
      <c r="C269" t="inlineStr">
        <is>
          <t xml:space="preserve">published</t>
        </is>
      </c>
      <c r="D269" t="inlineStr">
        <is>
          <t xml:space="preserve">بلک اند وایت</t>
        </is>
      </c>
      <c r="F269" t="inlineStr">
        <is>
          <t xml:space="preserve">کتابخانه بلک اند وایت</t>
        </is>
      </c>
      <c r="G269" t="inlineStr">
        <is>
          <t xml:space="preserve">bw-bookcase</t>
        </is>
      </c>
      <c r="H269" t="inlineStr">
        <is>
          <t xml:space="preserve">bw-bookcase</t>
        </is>
      </c>
      <c r="I269" t="inlineStr">
        <is>
          <t xml:space="preserve">teen</t>
        </is>
      </c>
      <c r="J269" t="n">
        <v>383660000</v>
      </c>
      <c r="L269" t="n">
        <v>14</v>
      </c>
      <c r="M269" t="n">
        <v>5</v>
      </c>
      <c r="N269" t="n">
        <v>5</v>
      </c>
      <c r="O269" t="inlineStr">
        <is>
          <t xml:space="preserve">in_stock</t>
        </is>
      </c>
      <c r="P269" t="inlineStr">
        <is>
          <t xml:space="preserve">width:80 · height:200 · depth:35</t>
        </is>
      </c>
      <c r="R269" t="inlineStr">
        <is>
          <t xml:space="preserve">کتابخانه</t>
        </is>
      </c>
      <c r="X269" t="n">
        <v>3</v>
      </c>
      <c r="Y269" t="inlineStr">
        <is>
          <t xml:space="preserve">bw-bookcase.webp; bw-bookcase-picture-v2.webp; bw-bookcase-picture.webp</t>
        </is>
      </c>
      <c r="Z269" t="inlineStr">
        <is>
          <t xml:space="preserve">http://80.240.31.146:3000/api/media/file/bw-bookcase.webp; http://80.240.31.146:3000/api/media/file/bw-bookcase-picture-v2.webp; http://80.240.31.146:3000/api/media/file/bw-bookcase-picture.webp</t>
        </is>
      </c>
    </row>
    <row r="270" ht="48" customHeight="1">
      <c r="A270">
        <f>IMAGE("http://80.240.31.146:3000/_next/image?url=%2Fapi%2Fmedia%2Ffile%2Fbaloot-wardrobe-2-doors-mdf-picture.webp&amp;w=256&amp;q=75",4,60,80)</f>
      </c>
      <c r="B270" t="n">
        <v>310</v>
      </c>
      <c r="C270" t="inlineStr">
        <is>
          <t xml:space="preserve">published</t>
        </is>
      </c>
      <c r="D270" t="inlineStr">
        <is>
          <t xml:space="preserve">بلوط</t>
        </is>
      </c>
      <c r="F270" t="inlineStr">
        <is>
          <t xml:space="preserve">کمد بلوط</t>
        </is>
      </c>
      <c r="G270" t="inlineStr">
        <is>
          <t xml:space="preserve">baloot-wardrobe</t>
        </is>
      </c>
      <c r="H270" t="inlineStr">
        <is>
          <t xml:space="preserve">baloot-wardrobe</t>
        </is>
      </c>
      <c r="I270" t="inlineStr">
        <is>
          <t xml:space="preserve">baby, double, teen</t>
        </is>
      </c>
      <c r="J270" t="n">
        <v>1612630000</v>
      </c>
      <c r="L270" t="n">
        <v>14</v>
      </c>
      <c r="M270" t="n">
        <v>5</v>
      </c>
      <c r="N270" t="n">
        <v>5</v>
      </c>
      <c r="O270" t="inlineStr">
        <is>
          <t xml:space="preserve">in_stock</t>
        </is>
      </c>
      <c r="P270" t="inlineStr">
        <is>
          <t xml:space="preserve">width:120 · height:220 · depth:60</t>
        </is>
      </c>
      <c r="R270" t="inlineStr">
        <is>
          <t xml:space="preserve">کمد</t>
        </is>
      </c>
      <c r="X270" t="n">
        <v>2</v>
      </c>
      <c r="Y270" t="inlineStr">
        <is>
          <t xml:space="preserve">baloot-wardrobe-2-doors-mdf-picture.webp; baloot-wardrobe-3-doors-mdf-picture.webp</t>
        </is>
      </c>
      <c r="Z270" t="inlineStr">
        <is>
          <t xml:space="preserve">http://80.240.31.146:3000/api/media/file/baloot-wardrobe-2-doors-mdf-picture.webp; http://80.240.31.146:3000/api/media/file/baloot-wardrobe-3-doors-mdf-picture.webp</t>
        </is>
      </c>
    </row>
    <row r="271" ht="48" customHeight="1">
      <c r="B271" t="n">
        <v>309</v>
      </c>
      <c r="C271" t="inlineStr">
        <is>
          <t xml:space="preserve">draft</t>
        </is>
      </c>
      <c r="D271" t="inlineStr">
        <is>
          <t xml:space="preserve">بلوط</t>
        </is>
      </c>
      <c r="F271" t="inlineStr">
        <is>
          <t xml:space="preserve">شلف دیواری بلوط</t>
        </is>
      </c>
      <c r="G271" t="inlineStr">
        <is>
          <t xml:space="preserve">baloot-wall-shelf</t>
        </is>
      </c>
      <c r="H271" t="inlineStr">
        <is>
          <t xml:space="preserve">baloot-wall-shelf</t>
        </is>
      </c>
      <c r="I271" t="inlineStr">
        <is>
          <t xml:space="preserve">baby, double, teen</t>
        </is>
      </c>
      <c r="J271" t="n">
        <v>176740000</v>
      </c>
      <c r="L271" t="n">
        <v>14</v>
      </c>
      <c r="M271" t="n">
        <v>5</v>
      </c>
      <c r="N271" t="n">
        <v>5</v>
      </c>
      <c r="O271" t="inlineStr">
        <is>
          <t xml:space="preserve">in_stock</t>
        </is>
      </c>
      <c r="P271" t="inlineStr">
        <is>
          <t xml:space="preserve">width:80 · height:25 · depth:25</t>
        </is>
      </c>
      <c r="R271" t="inlineStr">
        <is>
          <t xml:space="preserve">شلف دیواری (براکت)</t>
        </is>
      </c>
      <c r="X271" t="n">
        <v>0</v>
      </c>
    </row>
    <row r="272" ht="48" customHeight="1">
      <c r="A272">
        <f>IMAGE("http://80.240.31.146:3000/_next/image?url=%2Fapi%2Fmedia%2Ffile%2Fbaloot-vanity-chair-picture.webp&amp;w=256&amp;q=75",4,60,80)</f>
      </c>
      <c r="B272" t="n">
        <v>308</v>
      </c>
      <c r="C272" t="inlineStr">
        <is>
          <t xml:space="preserve">published</t>
        </is>
      </c>
      <c r="D272" t="inlineStr">
        <is>
          <t xml:space="preserve">بلوط</t>
        </is>
      </c>
      <c r="F272" t="inlineStr">
        <is>
          <t xml:space="preserve">صندلی میز آرایش بلوط</t>
        </is>
      </c>
      <c r="G272" t="inlineStr">
        <is>
          <t xml:space="preserve">baloot-vanity-chair</t>
        </is>
      </c>
      <c r="H272" t="inlineStr">
        <is>
          <t xml:space="preserve">baloot-vanity-chair</t>
        </is>
      </c>
      <c r="I272" t="inlineStr">
        <is>
          <t xml:space="preserve">baby, double, teen</t>
        </is>
      </c>
      <c r="J272" t="n">
        <v>156760000</v>
      </c>
      <c r="L272" t="n">
        <v>14</v>
      </c>
      <c r="M272" t="n">
        <v>5</v>
      </c>
      <c r="N272" t="n">
        <v>5</v>
      </c>
      <c r="O272" t="inlineStr">
        <is>
          <t xml:space="preserve">in_stock</t>
        </is>
      </c>
      <c r="P272" t="inlineStr">
        <is>
          <t xml:space="preserve">width:100 · height:78 · depth:45</t>
        </is>
      </c>
      <c r="R272" t="inlineStr">
        <is>
          <t xml:space="preserve">صندلی میز آرایش</t>
        </is>
      </c>
      <c r="X272" t="n">
        <v>1</v>
      </c>
      <c r="Y272" t="inlineStr">
        <is>
          <t xml:space="preserve">baloot-vanity-chair-picture.webp</t>
        </is>
      </c>
      <c r="Z272" t="inlineStr">
        <is>
          <t xml:space="preserve">http://80.240.31.146:3000/api/media/file/baloot-vanity-chair-picture.webp</t>
        </is>
      </c>
    </row>
    <row r="273" ht="48" customHeight="1">
      <c r="A273">
        <f>IMAGE("http://80.240.31.146:3000/_next/image?url=%2Fapi%2Fmedia%2Ffile%2Fbaloot-vanity-4-drawers-picture-v2.webp&amp;w=256&amp;q=75",4,60,80)</f>
      </c>
      <c r="B273" t="n">
        <v>307</v>
      </c>
      <c r="C273" t="inlineStr">
        <is>
          <t xml:space="preserve">draft</t>
        </is>
      </c>
      <c r="D273" t="inlineStr">
        <is>
          <t xml:space="preserve">بلوط</t>
        </is>
      </c>
      <c r="F273" t="inlineStr">
        <is>
          <t xml:space="preserve">میز آرایش بلوط</t>
        </is>
      </c>
      <c r="G273" t="inlineStr">
        <is>
          <t xml:space="preserve">baloot-vanity</t>
        </is>
      </c>
      <c r="H273" t="inlineStr">
        <is>
          <t xml:space="preserve">baloot-vanity</t>
        </is>
      </c>
      <c r="I273" t="inlineStr">
        <is>
          <t xml:space="preserve">baby, double, teen</t>
        </is>
      </c>
      <c r="J273" t="n">
        <v>0</v>
      </c>
      <c r="L273" t="n">
        <v>14</v>
      </c>
      <c r="M273" t="n">
        <v>5</v>
      </c>
      <c r="N273" t="n">
        <v>5</v>
      </c>
      <c r="O273" t="inlineStr">
        <is>
          <t xml:space="preserve">made_to_order</t>
        </is>
      </c>
      <c r="P273" t="inlineStr">
        <is>
          <t xml:space="preserve">width:100 · height:78 · depth:45</t>
        </is>
      </c>
      <c r="R273" t="inlineStr">
        <is>
          <t xml:space="preserve">میز آرایش</t>
        </is>
      </c>
      <c r="X273" t="n">
        <v>3</v>
      </c>
      <c r="Y273" t="inlineStr">
        <is>
          <t xml:space="preserve">baloot-vanity-4-drawers-picture-v2.webp; baloot-vanity-4-drawers-picture.webp; baloot-vanity-chair-picture.webp</t>
        </is>
      </c>
      <c r="Z273" t="inlineStr">
        <is>
          <t xml:space="preserve">http://80.240.31.146:3000/api/media/file/baloot-vanity-4-drawers-picture-v2.webp; http://80.240.31.146:3000/api/media/file/baloot-vanity-4-drawers-picture.webp; http://80.240.31.146:3000/api/media/file/baloot-vanity-chair-picture.webp</t>
        </is>
      </c>
    </row>
    <row r="274" ht="48" customHeight="1">
      <c r="A274">
        <f>IMAGE("http://80.240.31.146:3000/_next/image?url=%2Fapi%2Fmedia%2Ffile%2Fbaloot-table-mirror-picture.webp&amp;w=256&amp;q=75",4,60,80)</f>
      </c>
      <c r="B274" t="n">
        <v>306</v>
      </c>
      <c r="C274" t="inlineStr">
        <is>
          <t xml:space="preserve">published</t>
        </is>
      </c>
      <c r="D274" t="inlineStr">
        <is>
          <t xml:space="preserve">بلوط</t>
        </is>
      </c>
      <c r="F274" t="inlineStr">
        <is>
          <t xml:space="preserve">آینه رومیزی بلوط</t>
        </is>
      </c>
      <c r="G274" t="inlineStr">
        <is>
          <t xml:space="preserve">baloot-table-mirror</t>
        </is>
      </c>
      <c r="H274" t="inlineStr">
        <is>
          <t xml:space="preserve">baloot-table-mirror</t>
        </is>
      </c>
      <c r="I274" t="inlineStr">
        <is>
          <t xml:space="preserve">baby, double, teen</t>
        </is>
      </c>
      <c r="J274" t="n">
        <v>256730000</v>
      </c>
      <c r="L274" t="n">
        <v>14</v>
      </c>
      <c r="M274" t="n">
        <v>5</v>
      </c>
      <c r="N274" t="n">
        <v>5</v>
      </c>
      <c r="O274" t="inlineStr">
        <is>
          <t xml:space="preserve">in_stock</t>
        </is>
      </c>
      <c r="P274" t="inlineStr">
        <is>
          <t xml:space="preserve">width:60 · height:70 · depth:5</t>
        </is>
      </c>
      <c r="R274" t="inlineStr">
        <is>
          <t xml:space="preserve">آینه رومیزی</t>
        </is>
      </c>
      <c r="X274" t="n">
        <v>1</v>
      </c>
      <c r="Y274" t="inlineStr">
        <is>
          <t xml:space="preserve">baloot-table-mirror-picture.webp</t>
        </is>
      </c>
      <c r="Z274" t="inlineStr">
        <is>
          <t xml:space="preserve">http://80.240.31.146:3000/api/media/file/baloot-table-mirror-picture.webp</t>
        </is>
      </c>
    </row>
    <row r="275" ht="48" customHeight="1">
      <c r="A275">
        <f>IMAGE("http://80.240.31.146:3000/_next/image?url=%2Fapi%2Fmedia%2Ffile%2Fbaloot-study-desk-picture.webp&amp;w=256&amp;q=75",4,60,80)</f>
      </c>
      <c r="B275" t="n">
        <v>305</v>
      </c>
      <c r="C275" t="inlineStr">
        <is>
          <t xml:space="preserve">published</t>
        </is>
      </c>
      <c r="D275" t="inlineStr">
        <is>
          <t xml:space="preserve">بلوط</t>
        </is>
      </c>
      <c r="F275" t="inlineStr">
        <is>
          <t xml:space="preserve">میز تحریر بلوط</t>
        </is>
      </c>
      <c r="G275" t="inlineStr">
        <is>
          <t xml:space="preserve">baloot-study-desk</t>
        </is>
      </c>
      <c r="H275" t="inlineStr">
        <is>
          <t xml:space="preserve">baloot-study-desk</t>
        </is>
      </c>
      <c r="I275" t="inlineStr">
        <is>
          <t xml:space="preserve">baby, double, teen</t>
        </is>
      </c>
      <c r="J275" t="n">
        <v>1034960000</v>
      </c>
      <c r="L275" t="n">
        <v>14</v>
      </c>
      <c r="M275" t="n">
        <v>5</v>
      </c>
      <c r="N275" t="n">
        <v>5</v>
      </c>
      <c r="O275" t="inlineStr">
        <is>
          <t xml:space="preserve">in_stock</t>
        </is>
      </c>
      <c r="P275" t="inlineStr">
        <is>
          <t xml:space="preserve">width:120 · height:75 · depth:60</t>
        </is>
      </c>
      <c r="R275" t="inlineStr">
        <is>
          <t xml:space="preserve">میز تحریر</t>
        </is>
      </c>
      <c r="X275" t="n">
        <v>1</v>
      </c>
      <c r="Y275" t="inlineStr">
        <is>
          <t xml:space="preserve">baloot-study-desk-picture.webp</t>
        </is>
      </c>
      <c r="Z275" t="inlineStr">
        <is>
          <t xml:space="preserve">http://80.240.31.146:3000/api/media/file/baloot-study-desk-picture.webp</t>
        </is>
      </c>
    </row>
    <row r="276" ht="48" customHeight="1">
      <c r="A276">
        <f>IMAGE("http://80.240.31.146:3000/_next/image?url=%2Fapi%2Fmedia%2Ffile%2Fbaloot-study-chair-picture.webp&amp;w=256&amp;q=75",4,60,80)</f>
      </c>
      <c r="B276" t="n">
        <v>304</v>
      </c>
      <c r="C276" t="inlineStr">
        <is>
          <t xml:space="preserve">published</t>
        </is>
      </c>
      <c r="D276" t="inlineStr">
        <is>
          <t xml:space="preserve">بلوط</t>
        </is>
      </c>
      <c r="F276" t="inlineStr">
        <is>
          <t xml:space="preserve">صندلی میز تحریر بلوط</t>
        </is>
      </c>
      <c r="G276" t="inlineStr">
        <is>
          <t xml:space="preserve">baloot-study-chair</t>
        </is>
      </c>
      <c r="H276" t="inlineStr">
        <is>
          <t xml:space="preserve">baloot-study-chair</t>
        </is>
      </c>
      <c r="I276" t="inlineStr">
        <is>
          <t xml:space="preserve">baby, double, teen</t>
        </is>
      </c>
      <c r="J276" t="n">
        <v>474250000</v>
      </c>
      <c r="L276" t="n">
        <v>14</v>
      </c>
      <c r="M276" t="n">
        <v>5</v>
      </c>
      <c r="N276" t="n">
        <v>5</v>
      </c>
      <c r="O276" t="inlineStr">
        <is>
          <t xml:space="preserve">in_stock</t>
        </is>
      </c>
      <c r="P276" t="inlineStr">
        <is>
          <t xml:space="preserve">width:50 · height:85 · depth:50</t>
        </is>
      </c>
      <c r="R276" t="inlineStr">
        <is>
          <t xml:space="preserve">صندلی میز تحریر</t>
        </is>
      </c>
      <c r="X276" t="n">
        <v>1</v>
      </c>
      <c r="Y276" t="inlineStr">
        <is>
          <t xml:space="preserve">baloot-study-chair-picture.webp</t>
        </is>
      </c>
      <c r="Z276" t="inlineStr">
        <is>
          <t xml:space="preserve">http://80.240.31.146:3000/api/media/file/baloot-study-chair-picture.webp</t>
        </is>
      </c>
    </row>
    <row r="277" ht="48" customHeight="1">
      <c r="A277">
        <f>IMAGE("http://80.240.31.146:3000/_next/image?url=%2Fapi%2Fmedia%2Ffile%2Fbaloot-standing-mirror-picture.webp&amp;w=256&amp;q=75",4,60,80)</f>
      </c>
      <c r="B277" t="n">
        <v>303</v>
      </c>
      <c r="C277" t="inlineStr">
        <is>
          <t xml:space="preserve">published</t>
        </is>
      </c>
      <c r="D277" t="inlineStr">
        <is>
          <t xml:space="preserve">بلوط</t>
        </is>
      </c>
      <c r="F277" t="inlineStr">
        <is>
          <t xml:space="preserve">آینه قدی بلوط</t>
        </is>
      </c>
      <c r="G277" t="inlineStr">
        <is>
          <t xml:space="preserve">baloot-standing-mirror</t>
        </is>
      </c>
      <c r="H277" t="inlineStr">
        <is>
          <t xml:space="preserve">baloot-standing-mirror</t>
        </is>
      </c>
      <c r="I277" t="inlineStr">
        <is>
          <t xml:space="preserve">baby, double, teen</t>
        </is>
      </c>
      <c r="J277" t="n">
        <v>404740000</v>
      </c>
      <c r="L277" t="n">
        <v>14</v>
      </c>
      <c r="M277" t="n">
        <v>5</v>
      </c>
      <c r="N277" t="n">
        <v>5</v>
      </c>
      <c r="O277" t="inlineStr">
        <is>
          <t xml:space="preserve">in_stock</t>
        </is>
      </c>
      <c r="P277" t="inlineStr">
        <is>
          <t xml:space="preserve">width:60 · height:180 · depth:5</t>
        </is>
      </c>
      <c r="R277" t="inlineStr">
        <is>
          <t xml:space="preserve">آینه قدی</t>
        </is>
      </c>
      <c r="X277" t="n">
        <v>1</v>
      </c>
      <c r="Y277" t="inlineStr">
        <is>
          <t xml:space="preserve">baloot-standing-mirror-picture.webp</t>
        </is>
      </c>
      <c r="Z277" t="inlineStr">
        <is>
          <t xml:space="preserve">http://80.240.31.146:3000/api/media/file/baloot-standing-mirror-picture.webp</t>
        </is>
      </c>
    </row>
    <row r="278" ht="48" customHeight="1">
      <c r="A278">
        <f>IMAGE("http://80.240.31.146:3000/_next/image?url=%2Fapi%2Fmedia%2Ffile%2Fbaloot-single-bed-100-high-picture-v2.webp&amp;w=256&amp;q=75",4,60,80)</f>
      </c>
      <c r="B278" t="n">
        <v>302</v>
      </c>
      <c r="C278" t="inlineStr">
        <is>
          <t xml:space="preserve">published</t>
        </is>
      </c>
      <c r="D278" t="inlineStr">
        <is>
          <t xml:space="preserve">بلوط</t>
        </is>
      </c>
      <c r="F278" t="inlineStr">
        <is>
          <t xml:space="preserve">تخت یک نفره بلوط</t>
        </is>
      </c>
      <c r="G278" t="inlineStr">
        <is>
          <t xml:space="preserve">baloot-single-bed</t>
        </is>
      </c>
      <c r="H278" t="inlineStr">
        <is>
          <t xml:space="preserve">baloot-single-bed</t>
        </is>
      </c>
      <c r="I278" t="inlineStr">
        <is>
          <t xml:space="preserve">baby, double, teen</t>
        </is>
      </c>
      <c r="J278" t="n">
        <v>1212720000</v>
      </c>
      <c r="L278" t="n">
        <v>14</v>
      </c>
      <c r="M278" t="n">
        <v>5</v>
      </c>
      <c r="N278" t="n">
        <v>5</v>
      </c>
      <c r="O278" t="inlineStr">
        <is>
          <t xml:space="preserve">in_stock</t>
        </is>
      </c>
      <c r="P278" t="inlineStr">
        <is>
          <t xml:space="preserve">width:100 · height:110 · depth:210</t>
        </is>
      </c>
      <c r="R278" t="inlineStr">
        <is>
          <t xml:space="preserve">تخت یک نفره</t>
        </is>
      </c>
      <c r="X278" t="n">
        <v>3</v>
      </c>
      <c r="Y278" t="inlineStr">
        <is>
          <t xml:space="preserve">baloot-single-bed-100-high-picture-v2.webp; baloot-single-bed-100-high-picture.webp; baloot-single-bed-100-low-picture.webp</t>
        </is>
      </c>
      <c r="Z278" t="inlineStr">
        <is>
          <t xml:space="preserve">http://80.240.31.146:3000/api/media/file/baloot-single-bed-100-high-picture-v2.webp; http://80.240.31.146:3000/api/media/file/baloot-single-bed-100-high-picture.webp; http://80.240.31.146:3000/api/media/file/baloot-single-bed-100-low-picture.webp</t>
        </is>
      </c>
    </row>
    <row r="279" ht="48" customHeight="1">
      <c r="A279">
        <f>IMAGE("http://80.240.31.146:3000/_next/image?url=%2Fapi%2Fmedia%2Ffile%2Fbaloot-nightstand-picture.webp&amp;w=256&amp;q=75",4,60,80)</f>
      </c>
      <c r="B279" t="n">
        <v>301</v>
      </c>
      <c r="C279" t="inlineStr">
        <is>
          <t xml:space="preserve">published</t>
        </is>
      </c>
      <c r="D279" t="inlineStr">
        <is>
          <t xml:space="preserve">بلوط</t>
        </is>
      </c>
      <c r="F279" t="inlineStr">
        <is>
          <t xml:space="preserve">پاتختی بلوط</t>
        </is>
      </c>
      <c r="G279" t="inlineStr">
        <is>
          <t xml:space="preserve">baloot-nightstand</t>
        </is>
      </c>
      <c r="H279" t="inlineStr">
        <is>
          <t xml:space="preserve">baloot-nightstand</t>
        </is>
      </c>
      <c r="I279" t="inlineStr">
        <is>
          <t xml:space="preserve">baby, double, teen</t>
        </is>
      </c>
      <c r="J279" t="n">
        <v>369220000</v>
      </c>
      <c r="L279" t="n">
        <v>14</v>
      </c>
      <c r="M279" t="n">
        <v>5</v>
      </c>
      <c r="N279" t="n">
        <v>5</v>
      </c>
      <c r="O279" t="inlineStr">
        <is>
          <t xml:space="preserve">in_stock</t>
        </is>
      </c>
      <c r="P279" t="inlineStr">
        <is>
          <t xml:space="preserve">width:50 · height:55 · depth:40</t>
        </is>
      </c>
      <c r="R279" t="inlineStr">
        <is>
          <t xml:space="preserve">پاتختی</t>
        </is>
      </c>
      <c r="X279" t="n">
        <v>1</v>
      </c>
      <c r="Y279" t="inlineStr">
        <is>
          <t xml:space="preserve">baloot-nightstand-picture.webp</t>
        </is>
      </c>
      <c r="Z279" t="inlineStr">
        <is>
          <t xml:space="preserve">http://80.240.31.146:3000/api/media/file/baloot-nightstand-picture.webp</t>
        </is>
      </c>
    </row>
    <row r="280" ht="48" customHeight="1">
      <c r="B280" t="n">
        <v>300</v>
      </c>
      <c r="C280" t="inlineStr">
        <is>
          <t xml:space="preserve">draft</t>
        </is>
      </c>
      <c r="D280" t="inlineStr">
        <is>
          <t xml:space="preserve">بلوط</t>
        </is>
      </c>
      <c r="F280" t="inlineStr">
        <is>
          <t xml:space="preserve">لاوست بلوط</t>
        </is>
      </c>
      <c r="G280" t="inlineStr">
        <is>
          <t xml:space="preserve">baloot-loveseat</t>
        </is>
      </c>
      <c r="H280" t="inlineStr">
        <is>
          <t xml:space="preserve">baloot-loveseat</t>
        </is>
      </c>
      <c r="I280" t="inlineStr">
        <is>
          <t xml:space="preserve">baby, double, teen</t>
        </is>
      </c>
      <c r="J280" t="n">
        <v>203420000</v>
      </c>
      <c r="L280" t="n">
        <v>14</v>
      </c>
      <c r="M280" t="n">
        <v>5</v>
      </c>
      <c r="N280" t="n">
        <v>5</v>
      </c>
      <c r="O280" t="inlineStr">
        <is>
          <t xml:space="preserve">in_stock</t>
        </is>
      </c>
      <c r="P280" t="inlineStr">
        <is>
          <t xml:space="preserve">width:140 · height:80 · depth:70</t>
        </is>
      </c>
      <c r="R280" t="inlineStr">
        <is>
          <t xml:space="preserve">لاوست</t>
        </is>
      </c>
      <c r="X280" t="n">
        <v>0</v>
      </c>
    </row>
    <row r="281" ht="48" customHeight="1">
      <c r="B281" t="n">
        <v>299</v>
      </c>
      <c r="C281" t="inlineStr">
        <is>
          <t xml:space="preserve">draft</t>
        </is>
      </c>
      <c r="D281" t="inlineStr">
        <is>
          <t xml:space="preserve">بلوط</t>
        </is>
      </c>
      <c r="F281" t="inlineStr">
        <is>
          <t xml:space="preserve">تخت دونفره بلوط</t>
        </is>
      </c>
      <c r="G281" t="inlineStr">
        <is>
          <t xml:space="preserve">baloot-double-bed</t>
        </is>
      </c>
      <c r="H281" t="inlineStr">
        <is>
          <t xml:space="preserve">baloot-double-bed</t>
        </is>
      </c>
      <c r="I281" t="inlineStr">
        <is>
          <t xml:space="preserve">baby, double, teen</t>
        </is>
      </c>
      <c r="J281" t="n">
        <v>1652040000</v>
      </c>
      <c r="L281" t="n">
        <v>14</v>
      </c>
      <c r="M281" t="n">
        <v>5</v>
      </c>
      <c r="N281" t="n">
        <v>5</v>
      </c>
      <c r="O281" t="inlineStr">
        <is>
          <t xml:space="preserve">in_stock</t>
        </is>
      </c>
      <c r="P281" t="inlineStr">
        <is>
          <t xml:space="preserve">width:160 · height:110 · depth:215</t>
        </is>
      </c>
      <c r="R281" t="inlineStr">
        <is>
          <t xml:space="preserve">تخت دونفره</t>
        </is>
      </c>
      <c r="X281" t="n">
        <v>0</v>
      </c>
    </row>
    <row r="282" ht="48" customHeight="1">
      <c r="A282">
        <f>IMAGE("http://80.240.31.146:3000/_next/image?url=%2Fapi%2Fmedia%2Ffile%2Fbaloot-convertible-bed-teen-picture.webp&amp;w=256&amp;q=75",4,60,80)</f>
      </c>
      <c r="B282" t="n">
        <v>298</v>
      </c>
      <c r="C282" t="inlineStr">
        <is>
          <t xml:space="preserve">published</t>
        </is>
      </c>
      <c r="D282" t="inlineStr">
        <is>
          <t xml:space="preserve">بلوط</t>
        </is>
      </c>
      <c r="F282" t="inlineStr">
        <is>
          <t xml:space="preserve">تخت نوزاد دومنظوره بلوط</t>
        </is>
      </c>
      <c r="G282" t="inlineStr">
        <is>
          <t xml:space="preserve">baloot-convertible-bed</t>
        </is>
      </c>
      <c r="H282" t="inlineStr">
        <is>
          <t xml:space="preserve">baloot-convertible-bed</t>
        </is>
      </c>
      <c r="I282" t="inlineStr">
        <is>
          <t xml:space="preserve">baby, double, teen</t>
        </is>
      </c>
      <c r="J282" t="n">
        <v>1713020000</v>
      </c>
      <c r="L282" t="n">
        <v>14</v>
      </c>
      <c r="M282" t="n">
        <v>5</v>
      </c>
      <c r="N282" t="n">
        <v>5</v>
      </c>
      <c r="O282" t="inlineStr">
        <is>
          <t xml:space="preserve">in_stock</t>
        </is>
      </c>
      <c r="P282" t="inlineStr">
        <is>
          <t xml:space="preserve">width:90 · height:105 · depth:195</t>
        </is>
      </c>
      <c r="R282" t="inlineStr">
        <is>
          <t xml:space="preserve">تخت نوزاد دومظوره (نوزاد نوجوان، کاناپه ای)</t>
        </is>
      </c>
      <c r="X282" t="n">
        <v>1</v>
      </c>
      <c r="Y282" t="inlineStr">
        <is>
          <t xml:space="preserve">baloot-convertible-bed-teen-picture.webp</t>
        </is>
      </c>
      <c r="Z282" t="inlineStr">
        <is>
          <t xml:space="preserve">http://80.240.31.146:3000/api/media/file/baloot-convertible-bed-teen-picture.webp</t>
        </is>
      </c>
    </row>
    <row r="283" ht="48" customHeight="1">
      <c r="A283">
        <f>IMAGE("http://80.240.31.146:3000/_next/image?url=%2Fapi%2Fmedia%2Ffile%2Fbaloot-console-3-drawers-picture.webp&amp;w=256&amp;q=75",4,60,80)</f>
      </c>
      <c r="B283" t="n">
        <v>297</v>
      </c>
      <c r="C283" t="inlineStr">
        <is>
          <t xml:space="preserve">published</t>
        </is>
      </c>
      <c r="D283" t="inlineStr">
        <is>
          <t xml:space="preserve">بلوط</t>
        </is>
      </c>
      <c r="F283" t="inlineStr">
        <is>
          <t xml:space="preserve">کنسول بلوط</t>
        </is>
      </c>
      <c r="G283" t="inlineStr">
        <is>
          <t xml:space="preserve">baloot-console</t>
        </is>
      </c>
      <c r="H283" t="inlineStr">
        <is>
          <t xml:space="preserve">baloot-console</t>
        </is>
      </c>
      <c r="I283" t="inlineStr">
        <is>
          <t xml:space="preserve">baby, double, teen</t>
        </is>
      </c>
      <c r="J283" t="n">
        <v>617330000</v>
      </c>
      <c r="L283" t="n">
        <v>14</v>
      </c>
      <c r="M283" t="n">
        <v>5</v>
      </c>
      <c r="N283" t="n">
        <v>5</v>
      </c>
      <c r="O283" t="inlineStr">
        <is>
          <t xml:space="preserve">in_stock</t>
        </is>
      </c>
      <c r="P283" t="inlineStr">
        <is>
          <t xml:space="preserve">width:110 · height:80 · depth:35</t>
        </is>
      </c>
      <c r="R283" t="inlineStr">
        <is>
          <t xml:space="preserve">کنسول</t>
        </is>
      </c>
      <c r="X283" t="n">
        <v>1</v>
      </c>
      <c r="Y283" t="inlineStr">
        <is>
          <t xml:space="preserve">baloot-console-3-drawers-picture.webp</t>
        </is>
      </c>
      <c r="Z283" t="inlineStr">
        <is>
          <t xml:space="preserve">http://80.240.31.146:3000/api/media/file/baloot-console-3-drawers-picture.webp</t>
        </is>
      </c>
    </row>
    <row r="284" ht="48" customHeight="1">
      <c r="B284" t="n">
        <v>296</v>
      </c>
      <c r="C284" t="inlineStr">
        <is>
          <t xml:space="preserve">draft</t>
        </is>
      </c>
      <c r="D284" t="inlineStr">
        <is>
          <t xml:space="preserve">بلوط</t>
        </is>
      </c>
      <c r="F284" t="inlineStr">
        <is>
          <t xml:space="preserve">صفحه تعویض بلوط</t>
        </is>
      </c>
      <c r="G284" t="inlineStr">
        <is>
          <t xml:space="preserve">baloot-changing-top</t>
        </is>
      </c>
      <c r="H284" t="inlineStr">
        <is>
          <t xml:space="preserve">baloot-changing-top</t>
        </is>
      </c>
      <c r="I284" t="inlineStr">
        <is>
          <t xml:space="preserve">baby, double, teen</t>
        </is>
      </c>
      <c r="J284" t="n">
        <v>135030000</v>
      </c>
      <c r="L284" t="n">
        <v>14</v>
      </c>
      <c r="M284" t="n">
        <v>5</v>
      </c>
      <c r="N284" t="n">
        <v>5</v>
      </c>
      <c r="O284" t="inlineStr">
        <is>
          <t xml:space="preserve">in_stock</t>
        </is>
      </c>
      <c r="P284" t="inlineStr">
        <is>
          <t xml:space="preserve">width:80 · height:8 · depth:55</t>
        </is>
      </c>
      <c r="R284" t="inlineStr">
        <is>
          <t xml:space="preserve">صفحه میز تعویض</t>
        </is>
      </c>
      <c r="X284" t="n">
        <v>0</v>
      </c>
    </row>
    <row r="285" ht="48" customHeight="1">
      <c r="A285">
        <f>IMAGE("http://80.240.31.146:3000/_next/image?url=%2Fapi%2Fmedia%2Ffile%2Fbaloot-bookcase-picture.webp&amp;w=256&amp;q=75",4,60,80)</f>
      </c>
      <c r="B285" t="n">
        <v>295</v>
      </c>
      <c r="C285" t="inlineStr">
        <is>
          <t xml:space="preserve">published</t>
        </is>
      </c>
      <c r="D285" t="inlineStr">
        <is>
          <t xml:space="preserve">بلوط</t>
        </is>
      </c>
      <c r="F285" t="inlineStr">
        <is>
          <t xml:space="preserve">کتابخانه بلوط</t>
        </is>
      </c>
      <c r="G285" t="inlineStr">
        <is>
          <t xml:space="preserve">baloot-bookcase</t>
        </is>
      </c>
      <c r="H285" t="inlineStr">
        <is>
          <t xml:space="preserve">baloot-bookcase</t>
        </is>
      </c>
      <c r="I285" t="inlineStr">
        <is>
          <t xml:space="preserve">baby, double, teen</t>
        </is>
      </c>
      <c r="J285" t="n">
        <v>1264580000</v>
      </c>
      <c r="L285" t="n">
        <v>14</v>
      </c>
      <c r="M285" t="n">
        <v>5</v>
      </c>
      <c r="N285" t="n">
        <v>5</v>
      </c>
      <c r="O285" t="inlineStr">
        <is>
          <t xml:space="preserve">in_stock</t>
        </is>
      </c>
      <c r="P285" t="inlineStr">
        <is>
          <t xml:space="preserve">width:80 · height:200 · depth:35</t>
        </is>
      </c>
      <c r="R285" t="inlineStr">
        <is>
          <t xml:space="preserve">کتابخانه</t>
        </is>
      </c>
      <c r="X285" t="n">
        <v>1</v>
      </c>
      <c r="Y285" t="inlineStr">
        <is>
          <t xml:space="preserve">baloot-bookcase-picture.webp</t>
        </is>
      </c>
      <c r="Z285" t="inlineStr">
        <is>
          <t xml:space="preserve">http://80.240.31.146:3000/api/media/file/baloot-bookcase-picture.webp</t>
        </is>
      </c>
    </row>
    <row r="286" ht="48" customHeight="1">
      <c r="B286" t="n">
        <v>294</v>
      </c>
      <c r="C286" t="inlineStr">
        <is>
          <t xml:space="preserve">draft</t>
        </is>
      </c>
      <c r="D286" t="inlineStr">
        <is>
          <t xml:space="preserve">آدرین</t>
        </is>
      </c>
      <c r="F286" t="inlineStr">
        <is>
          <t xml:space="preserve">تخت دوطبقه آدرین</t>
        </is>
      </c>
      <c r="G286" t="inlineStr">
        <is>
          <t xml:space="preserve">adrian-bunk-bed</t>
        </is>
      </c>
      <c r="H286" t="inlineStr">
        <is>
          <t xml:space="preserve">adrian-bunk-bed</t>
        </is>
      </c>
      <c r="I286" t="inlineStr">
        <is>
          <t xml:space="preserve">bunk</t>
        </is>
      </c>
      <c r="J286" t="n">
        <v>1297730000</v>
      </c>
      <c r="L286" t="n">
        <v>14</v>
      </c>
      <c r="M286" t="n">
        <v>5</v>
      </c>
      <c r="N286" t="n">
        <v>5</v>
      </c>
      <c r="O286" t="inlineStr">
        <is>
          <t xml:space="preserve">in_stock</t>
        </is>
      </c>
      <c r="P286" t="inlineStr">
        <is>
          <t xml:space="preserve">width:100 · height:170 · depth:210</t>
        </is>
      </c>
      <c r="R286" t="inlineStr">
        <is>
          <t xml:space="preserve">تخت دوطبقه</t>
        </is>
      </c>
      <c r="X286" t="n">
        <v>0</v>
      </c>
    </row>
  </sheetData>
  <autoFilter ref="A1:AD286"/>
</worksheet>
</file>

<file path=xl/worksheets/sheet2.xml><?xml version="1.0" encoding="utf-8"?>
<worksheet xmlns="http://schemas.openxmlformats.org/spreadsheetml/2006/main">
  <cols>
    <col min="1" max="1" width="13" customWidth="1"/>
  </cols>
  <sheetViews>
    <sheetView workbookViewId="0">
      <pane xSplit="0" ySplit="1" topLeftCell="A2" activePane="bottomLeft" state="frozen"/>
    </sheetView>
  </sheetViews>
  <sheetData>
    <row r="1">
      <c r="A1" t="inlineStr">
        <is>
          <t xml:space="preserve">preview</t>
        </is>
      </c>
      <c r="B1" t="inlineStr">
        <is>
          <t xml:space="preserve">id</t>
        </is>
      </c>
      <c r="C1" t="inlineStr">
        <is>
          <t xml:space="preserve">name</t>
        </is>
      </c>
      <c r="D1" t="inlineStr">
        <is>
          <t xml:space="preserve">slug</t>
        </is>
      </c>
      <c r="E1" t="inlineStr">
        <is>
          <t xml:space="preserve">age_group</t>
        </is>
      </c>
      <c r="F1" t="inlineStr">
        <is>
          <t xml:space="preserve">occupancies</t>
        </is>
      </c>
      <c r="G1" t="inlineStr">
        <is>
          <t xml:space="preserve">featured</t>
        </is>
      </c>
      <c r="H1" t="inlineStr">
        <is>
          <t xml:space="preserve">tagline</t>
        </is>
      </c>
      <c r="I1" t="inlineStr">
        <is>
          <t xml:space="preserve">has_description</t>
        </is>
      </c>
      <c r="J1" t="inlineStr">
        <is>
          <t xml:space="preserve">has_storyBlocks</t>
        </is>
      </c>
      <c r="K1" t="inlineStr">
        <is>
          <t xml:space="preserve">heroMedia</t>
        </is>
      </c>
      <c r="L1" t="inlineStr">
        <is>
          <t xml:space="preserve">sliderMedia</t>
        </is>
      </c>
      <c r="M1" t="inlineStr">
        <is>
          <t xml:space="preserve">gallery_count</t>
        </is>
      </c>
      <c r="N1" t="inlineStr">
        <is>
          <t xml:space="preserve">gallery_urls</t>
        </is>
      </c>
      <c r="O1" t="inlineStr">
        <is>
          <t xml:space="preserve">correct? ✓/✗</t>
        </is>
      </c>
      <c r="P1" t="inlineStr">
        <is>
          <t xml:space="preserve">issue_type</t>
        </is>
      </c>
      <c r="Q1" t="inlineStr">
        <is>
          <t xml:space="preserve">notes</t>
        </is>
      </c>
      <c r="R1" t="inlineStr">
        <is>
          <t xml:space="preserve">fixed?</t>
        </is>
      </c>
    </row>
    <row r="2" ht="48" customHeight="1">
      <c r="B2" t="n">
        <v>22</v>
      </c>
      <c r="C2" t="inlineStr">
        <is>
          <t xml:space="preserve">بلوط</t>
        </is>
      </c>
      <c r="D2" t="inlineStr">
        <is>
          <t xml:space="preserve">baloot</t>
        </is>
      </c>
      <c r="F2" t="inlineStr">
        <is>
          <t xml:space="preserve">baby, double, teen</t>
        </is>
      </c>
      <c r="M2" t="n">
        <v>0</v>
      </c>
    </row>
    <row r="3" ht="48" customHeight="1">
      <c r="B3" t="n">
        <v>25</v>
      </c>
      <c r="C3" t="inlineStr">
        <is>
          <t xml:space="preserve">سلین</t>
        </is>
      </c>
      <c r="D3" t="inlineStr">
        <is>
          <t xml:space="preserve">celine</t>
        </is>
      </c>
      <c r="F3" t="inlineStr">
        <is>
          <t xml:space="preserve">double</t>
        </is>
      </c>
      <c r="M3" t="n">
        <v>0</v>
      </c>
    </row>
    <row r="4" ht="48" customHeight="1">
      <c r="B4" t="n">
        <v>30</v>
      </c>
      <c r="C4" t="inlineStr">
        <is>
          <t xml:space="preserve">ژاکلین</t>
        </is>
      </c>
      <c r="D4" t="inlineStr">
        <is>
          <t xml:space="preserve">jacqueline</t>
        </is>
      </c>
      <c r="F4" t="inlineStr">
        <is>
          <t xml:space="preserve">double, teen</t>
        </is>
      </c>
      <c r="M4" t="n">
        <v>0</v>
      </c>
    </row>
    <row r="5" ht="48" customHeight="1">
      <c r="B5" t="n">
        <v>37</v>
      </c>
      <c r="C5" t="inlineStr">
        <is>
          <t xml:space="preserve">سنتو</t>
        </is>
      </c>
      <c r="D5" t="inlineStr">
        <is>
          <t xml:space="preserve">sento</t>
        </is>
      </c>
      <c r="F5" t="inlineStr">
        <is>
          <t xml:space="preserve">baby, double, teen</t>
        </is>
      </c>
      <c r="M5" t="n">
        <v>0</v>
      </c>
    </row>
    <row r="6" ht="48" customHeight="1">
      <c r="B6" t="n">
        <v>38</v>
      </c>
      <c r="C6" t="inlineStr">
        <is>
          <t xml:space="preserve">شایلین</t>
        </is>
      </c>
      <c r="D6" t="inlineStr">
        <is>
          <t xml:space="preserve">shaylin</t>
        </is>
      </c>
      <c r="F6" t="inlineStr">
        <is>
          <t xml:space="preserve">double</t>
        </is>
      </c>
      <c r="M6" t="n">
        <v>0</v>
      </c>
    </row>
    <row r="7" ht="48" customHeight="1">
      <c r="B7" t="n">
        <v>40</v>
      </c>
      <c r="C7" t="inlineStr">
        <is>
          <t xml:space="preserve">ورنا</t>
        </is>
      </c>
      <c r="D7" t="inlineStr">
        <is>
          <t xml:space="preserve">verna</t>
        </is>
      </c>
      <c r="F7" t="inlineStr">
        <is>
          <t xml:space="preserve">double, teen</t>
        </is>
      </c>
      <c r="M7" t="n">
        <v>0</v>
      </c>
    </row>
    <row r="8" ht="48" customHeight="1">
      <c r="B8" t="n">
        <v>41</v>
      </c>
      <c r="C8" t="inlineStr">
        <is>
          <t xml:space="preserve">آدرین</t>
        </is>
      </c>
      <c r="D8" t="inlineStr">
        <is>
          <t xml:space="preserve">adrian</t>
        </is>
      </c>
      <c r="F8" t="inlineStr">
        <is>
          <t xml:space="preserve">bunk</t>
        </is>
      </c>
      <c r="M8" t="n">
        <v>0</v>
      </c>
    </row>
    <row r="9" ht="48" customHeight="1">
      <c r="B9" t="n">
        <v>42</v>
      </c>
      <c r="C9" t="inlineStr">
        <is>
          <t xml:space="preserve">کاترین</t>
        </is>
      </c>
      <c r="D9" t="inlineStr">
        <is>
          <t xml:space="preserve">catherine</t>
        </is>
      </c>
      <c r="F9" t="inlineStr">
        <is>
          <t xml:space="preserve">baby, double, teen</t>
        </is>
      </c>
      <c r="M9" t="n">
        <v>0</v>
      </c>
    </row>
    <row r="10" ht="48" customHeight="1">
      <c r="B10" t="n">
        <v>43</v>
      </c>
      <c r="C10" t="inlineStr">
        <is>
          <t xml:space="preserve">کلاسیک</t>
        </is>
      </c>
      <c r="D10" t="inlineStr">
        <is>
          <t xml:space="preserve">classic</t>
        </is>
      </c>
      <c r="F10" t="inlineStr">
        <is>
          <t xml:space="preserve">double, teen</t>
        </is>
      </c>
      <c r="M10" t="n">
        <v>0</v>
      </c>
    </row>
    <row r="11" ht="48" customHeight="1">
      <c r="B11" t="n">
        <v>44</v>
      </c>
      <c r="C11" t="inlineStr">
        <is>
          <t xml:space="preserve">الیزا</t>
        </is>
      </c>
      <c r="D11" t="inlineStr">
        <is>
          <t xml:space="preserve">eliza</t>
        </is>
      </c>
      <c r="F11" t="inlineStr">
        <is>
          <t xml:space="preserve">double, teen</t>
        </is>
      </c>
      <c r="M11" t="n">
        <v>0</v>
      </c>
    </row>
    <row r="12" ht="48" customHeight="1">
      <c r="B12" t="n">
        <v>45</v>
      </c>
      <c r="C12" t="inlineStr">
        <is>
          <t xml:space="preserve">نیکان</t>
        </is>
      </c>
      <c r="D12" t="inlineStr">
        <is>
          <t xml:space="preserve">nikan</t>
        </is>
      </c>
      <c r="F12" t="inlineStr">
        <is>
          <t xml:space="preserve">bunk</t>
        </is>
      </c>
      <c r="M12" t="n">
        <v>0</v>
      </c>
    </row>
    <row r="13" ht="48" customHeight="1">
      <c r="B13" t="n">
        <v>46</v>
      </c>
      <c r="C13" t="inlineStr">
        <is>
          <t xml:space="preserve">روکو</t>
        </is>
      </c>
      <c r="D13" t="inlineStr">
        <is>
          <t xml:space="preserve">roco</t>
        </is>
      </c>
      <c r="F13" t="inlineStr">
        <is>
          <t xml:space="preserve">double, teen</t>
        </is>
      </c>
      <c r="M13" t="n">
        <v>0</v>
      </c>
    </row>
    <row r="14" ht="48" customHeight="1">
      <c r="B14" t="n">
        <v>47</v>
      </c>
      <c r="C14" t="inlineStr">
        <is>
          <t xml:space="preserve">رمانتیک</t>
        </is>
      </c>
      <c r="D14" t="inlineStr">
        <is>
          <t xml:space="preserve">romantic</t>
        </is>
      </c>
      <c r="F14" t="inlineStr">
        <is>
          <t xml:space="preserve">double, teen</t>
        </is>
      </c>
      <c r="M14" t="n">
        <v>0</v>
      </c>
    </row>
    <row r="15" ht="48" customHeight="1">
      <c r="A15">
        <f>IMAGE("http://80.240.31.146:3000/_next/image?url=%2Fapi%2Fmedia%2Ffile%2Fbedroom-set-bw.webp&amp;w=256&amp;q=75",4,60,80)</f>
      </c>
      <c r="B15" t="n">
        <v>23</v>
      </c>
      <c r="C15" t="inlineStr">
        <is>
          <t xml:space="preserve">بلک اند وایت</t>
        </is>
      </c>
      <c r="D15" t="inlineStr">
        <is>
          <t xml:space="preserve">bw</t>
        </is>
      </c>
      <c r="F15" t="inlineStr">
        <is>
          <t xml:space="preserve">teen</t>
        </is>
      </c>
      <c r="L15" t="inlineStr">
        <is>
          <t xml:space="preserve">bedroom-set-bw.webp</t>
        </is>
      </c>
      <c r="M15" t="n">
        <v>0</v>
      </c>
    </row>
    <row r="16" ht="48" customHeight="1">
      <c r="A16">
        <f>IMAGE("http://80.240.31.146:3000/_next/image?url=%2Fapi%2Fmedia%2Ffile%2Fbedroom-set-caroline.webp&amp;w=256&amp;q=75",4,60,80)</f>
      </c>
      <c r="B16" t="n">
        <v>24</v>
      </c>
      <c r="C16" t="inlineStr">
        <is>
          <t xml:space="preserve">کارولین</t>
        </is>
      </c>
      <c r="D16" t="inlineStr">
        <is>
          <t xml:space="preserve">caroline</t>
        </is>
      </c>
      <c r="F16" t="inlineStr">
        <is>
          <t xml:space="preserve">baby, double, teen</t>
        </is>
      </c>
      <c r="L16" t="inlineStr">
        <is>
          <t xml:space="preserve">bedroom-set-caroline.webp</t>
        </is>
      </c>
      <c r="M16" t="n">
        <v>0</v>
      </c>
    </row>
    <row r="17" ht="48" customHeight="1">
      <c r="A17">
        <f>IMAGE("http://80.240.31.146:3000/_next/image?url=%2Fapi%2Fmedia%2Ffile%2Fbedroom-set-elegance.webp&amp;w=256&amp;q=75",4,60,80)</f>
      </c>
      <c r="B17" t="n">
        <v>26</v>
      </c>
      <c r="C17" t="inlineStr">
        <is>
          <t xml:space="preserve">الگانس</t>
        </is>
      </c>
      <c r="D17" t="inlineStr">
        <is>
          <t xml:space="preserve">elegance</t>
        </is>
      </c>
      <c r="F17" t="inlineStr">
        <is>
          <t xml:space="preserve">teen</t>
        </is>
      </c>
      <c r="L17" t="inlineStr">
        <is>
          <t xml:space="preserve">bedroom-set-elegance.webp</t>
        </is>
      </c>
      <c r="M17" t="n">
        <v>0</v>
      </c>
    </row>
    <row r="18" ht="48" customHeight="1">
      <c r="A18">
        <f>IMAGE("http://80.240.31.146:3000/_next/image?url=%2Fapi%2Fmedia%2Ffile%2Fbedroom-set-elizabeth.webp&amp;w=256&amp;q=75",4,60,80)</f>
      </c>
      <c r="B18" t="n">
        <v>27</v>
      </c>
      <c r="C18" t="inlineStr">
        <is>
          <t xml:space="preserve">الیزابت</t>
        </is>
      </c>
      <c r="D18" t="inlineStr">
        <is>
          <t xml:space="preserve">elizabeth</t>
        </is>
      </c>
      <c r="F18" t="inlineStr">
        <is>
          <t xml:space="preserve">baby, double, teen</t>
        </is>
      </c>
      <c r="L18" t="inlineStr">
        <is>
          <t xml:space="preserve">bedroom-set-elizabeth.webp</t>
        </is>
      </c>
      <c r="M18" t="n">
        <v>0</v>
      </c>
    </row>
    <row r="19" ht="48" customHeight="1">
      <c r="A19">
        <f>IMAGE("http://80.240.31.146:3000/_next/image?url=%2Fapi%2Fmedia%2Ffile%2Fbedroom-set-gandom.webp&amp;w=256&amp;q=75",4,60,80)</f>
      </c>
      <c r="B19" t="n">
        <v>28</v>
      </c>
      <c r="C19" t="inlineStr">
        <is>
          <t xml:space="preserve">گندم</t>
        </is>
      </c>
      <c r="D19" t="inlineStr">
        <is>
          <t xml:space="preserve">gandom</t>
        </is>
      </c>
      <c r="F19" t="inlineStr">
        <is>
          <t xml:space="preserve">baby</t>
        </is>
      </c>
      <c r="L19" t="inlineStr">
        <is>
          <t xml:space="preserve">bedroom-set-gandom.webp</t>
        </is>
      </c>
      <c r="M19" t="n">
        <v>0</v>
      </c>
    </row>
    <row r="20" ht="48" customHeight="1">
      <c r="A20">
        <f>IMAGE("http://80.240.31.146:3000/_next/image?url=%2Fapi%2Fmedia%2Ffile%2Fbedroom-set-loof.webp&amp;w=256&amp;q=75",4,60,80)</f>
      </c>
      <c r="B20" t="n">
        <v>31</v>
      </c>
      <c r="C20" t="inlineStr">
        <is>
          <t xml:space="preserve">لوف</t>
        </is>
      </c>
      <c r="D20" t="inlineStr">
        <is>
          <t xml:space="preserve">loof</t>
        </is>
      </c>
      <c r="F20" t="inlineStr">
        <is>
          <t xml:space="preserve">baby, teen</t>
        </is>
      </c>
      <c r="L20" t="inlineStr">
        <is>
          <t xml:space="preserve">bedroom-set-loof.webp</t>
        </is>
      </c>
      <c r="M20" t="n">
        <v>0</v>
      </c>
    </row>
    <row r="21" ht="48" customHeight="1">
      <c r="A21">
        <f>IMAGE("http://80.240.31.146:3000/_next/image?url=%2Fapi%2Fmedia%2Ffile%2Fbedroom-set-lorena.webp&amp;w=256&amp;q=75",4,60,80)</f>
      </c>
      <c r="B21" t="n">
        <v>32</v>
      </c>
      <c r="C21" t="inlineStr">
        <is>
          <t xml:space="preserve">لورنا</t>
        </is>
      </c>
      <c r="D21" t="inlineStr">
        <is>
          <t xml:space="preserve">lorena</t>
        </is>
      </c>
      <c r="F21" t="inlineStr">
        <is>
          <t xml:space="preserve">double</t>
        </is>
      </c>
      <c r="L21" t="inlineStr">
        <is>
          <t xml:space="preserve">bedroom-set-lorena.webp</t>
        </is>
      </c>
      <c r="M21" t="n">
        <v>0</v>
      </c>
    </row>
    <row r="22" ht="48" customHeight="1">
      <c r="A22">
        <f>IMAGE("http://80.240.31.146:3000/_next/image?url=%2Fapi%2Fmedia%2Ffile%2Fbedroom-set-lotus.webp&amp;w=256&amp;q=75",4,60,80)</f>
      </c>
      <c r="B22" t="n">
        <v>33</v>
      </c>
      <c r="C22" t="inlineStr">
        <is>
          <t xml:space="preserve">لوتوس</t>
        </is>
      </c>
      <c r="D22" t="inlineStr">
        <is>
          <t xml:space="preserve">lotus</t>
        </is>
      </c>
      <c r="F22" t="inlineStr">
        <is>
          <t xml:space="preserve">double, teen</t>
        </is>
      </c>
      <c r="L22" t="inlineStr">
        <is>
          <t xml:space="preserve">bedroom-set-lotus.webp</t>
        </is>
      </c>
      <c r="M22" t="n">
        <v>0</v>
      </c>
    </row>
    <row r="23" ht="48" customHeight="1">
      <c r="A23">
        <f>IMAGE("http://80.240.31.146:3000/_next/image?url=%2Fapi%2Fmedia%2Ffile%2Fbedroom-set-lukaplus.webp&amp;w=256&amp;q=75",4,60,80)</f>
      </c>
      <c r="B23" t="n">
        <v>34</v>
      </c>
      <c r="C23" t="inlineStr">
        <is>
          <t xml:space="preserve">لوکاپلاس</t>
        </is>
      </c>
      <c r="D23" t="inlineStr">
        <is>
          <t xml:space="preserve">lukaplus</t>
        </is>
      </c>
      <c r="F23" t="inlineStr">
        <is>
          <t xml:space="preserve">double, teen</t>
        </is>
      </c>
      <c r="L23" t="inlineStr">
        <is>
          <t xml:space="preserve">bedroom-set-lukaplus.webp</t>
        </is>
      </c>
      <c r="M23" t="n">
        <v>0</v>
      </c>
    </row>
    <row r="24" ht="48" customHeight="1">
      <c r="A24">
        <f>IMAGE("http://80.240.31.146:3000/_next/image?url=%2Fapi%2Fmedia%2Ffile%2Fbedroom-set-mocha.webp&amp;w=256&amp;q=75",4,60,80)</f>
      </c>
      <c r="B24" t="n">
        <v>35</v>
      </c>
      <c r="C24" t="inlineStr">
        <is>
          <t xml:space="preserve">موکا</t>
        </is>
      </c>
      <c r="D24" t="inlineStr">
        <is>
          <t xml:space="preserve">mocha</t>
        </is>
      </c>
      <c r="F24" t="inlineStr">
        <is>
          <t xml:space="preserve">teen</t>
        </is>
      </c>
      <c r="L24" t="inlineStr">
        <is>
          <t xml:space="preserve">bedroom-set-mocha.webp</t>
        </is>
      </c>
      <c r="M24" t="n">
        <v>0</v>
      </c>
    </row>
    <row r="25" ht="48" customHeight="1">
      <c r="A25">
        <f>IMAGE("http://80.240.31.146:3000/_next/image?url=%2Fapi%2Fmedia%2Ffile%2Fbedroom-set-parla.webp&amp;w=256&amp;q=75",4,60,80)</f>
      </c>
      <c r="B25" t="n">
        <v>36</v>
      </c>
      <c r="C25" t="inlineStr">
        <is>
          <t xml:space="preserve">پارلا</t>
        </is>
      </c>
      <c r="D25" t="inlineStr">
        <is>
          <t xml:space="preserve">parla</t>
        </is>
      </c>
      <c r="F25" t="inlineStr">
        <is>
          <t xml:space="preserve">baby, bunk, double, teen</t>
        </is>
      </c>
      <c r="L25" t="inlineStr">
        <is>
          <t xml:space="preserve">bedroom-set-parla.webp</t>
        </is>
      </c>
      <c r="M25" t="n">
        <v>0</v>
      </c>
    </row>
    <row r="26" ht="48" customHeight="1">
      <c r="A26">
        <f>IMAGE("http://80.240.31.146:3000/_next/image?url=%2Fapi%2Fmedia%2Ffile%2Fbedroom-set-skate.webp&amp;w=256&amp;q=75",4,60,80)</f>
      </c>
      <c r="B26" t="n">
        <v>39</v>
      </c>
      <c r="C26" t="inlineStr">
        <is>
          <t xml:space="preserve">اسکیت</t>
        </is>
      </c>
      <c r="D26" t="inlineStr">
        <is>
          <t xml:space="preserve">skate</t>
        </is>
      </c>
      <c r="F26" t="inlineStr">
        <is>
          <t xml:space="preserve">baby, teen</t>
        </is>
      </c>
      <c r="L26" t="inlineStr">
        <is>
          <t xml:space="preserve">bedroom-set-skate.webp</t>
        </is>
      </c>
      <c r="M26" t="n">
        <v>0</v>
      </c>
    </row>
    <row r="27" ht="48" customHeight="1">
      <c r="A27">
        <f>IMAGE("http://80.240.31.146:3000/_next/image?url=%2Fapi%2Fmedia%2Ffile%2Firon-scene-all-picture.webp&amp;w=256&amp;q=75",4,60,80)</f>
      </c>
      <c r="B27" t="n">
        <v>29</v>
      </c>
      <c r="C27" t="inlineStr">
        <is>
          <t xml:space="preserve">آیرون</t>
        </is>
      </c>
      <c r="D27" t="inlineStr">
        <is>
          <t xml:space="preserve">iron</t>
        </is>
      </c>
      <c r="F27" t="inlineStr">
        <is>
          <t xml:space="preserve">double, teen</t>
        </is>
      </c>
      <c r="L27" t="inlineStr">
        <is>
          <t xml:space="preserve">iron-scene-all-picture.webp</t>
        </is>
      </c>
      <c r="M27" t="n">
        <v>0</v>
      </c>
    </row>
  </sheetData>
  <autoFilter ref="A1:R27"/>
</worksheet>
</file>

<file path=xl/worksheets/sheet3.xml><?xml version="1.0" encoding="utf-8"?>
<worksheet xmlns="http://schemas.openxmlformats.org/spreadsheetml/2006/main">
  <cols>
    <col min="1" max="1" width="13" customWidth="1"/>
  </cols>
  <sheetViews>
    <sheetView workbookViewId="0">
      <pane xSplit="0" ySplit="1" topLeftCell="A2" activePane="bottomLeft" state="frozen"/>
    </sheetView>
  </sheetViews>
  <sheetData>
    <row r="1">
      <c r="A1" t="inlineStr">
        <is>
          <t xml:space="preserve">preview</t>
        </is>
      </c>
      <c r="B1" t="inlineStr">
        <is>
          <t xml:space="preserve">id</t>
        </is>
      </c>
      <c r="C1" t="inlineStr">
        <is>
          <t xml:space="preserve">name</t>
        </is>
      </c>
      <c r="D1" t="inlineStr">
        <is>
          <t xml:space="preserve">slug</t>
        </is>
      </c>
      <c r="E1" t="inlineStr">
        <is>
          <t xml:space="preserve">parent</t>
        </is>
      </c>
      <c r="F1" t="inlineStr">
        <is>
          <t xml:space="preserve">tagline</t>
        </is>
      </c>
      <c r="G1" t="inlineStr">
        <is>
          <t xml:space="preserve">has_intro</t>
        </is>
      </c>
      <c r="H1" t="inlineStr">
        <is>
          <t xml:space="preserve">has_description</t>
        </is>
      </c>
      <c r="I1" t="inlineStr">
        <is>
          <t xml:space="preserve">allowed_axes</t>
        </is>
      </c>
      <c r="J1" t="inlineStr">
        <is>
          <t xml:space="preserve">axis_filter</t>
        </is>
      </c>
      <c r="K1" t="inlineStr">
        <is>
          <t xml:space="preserve">has_rule</t>
        </is>
      </c>
      <c r="L1" t="inlineStr">
        <is>
          <t xml:space="preserve">cover</t>
        </is>
      </c>
      <c r="M1" t="inlineStr">
        <is>
          <t xml:space="preserve">has_seo</t>
        </is>
      </c>
      <c r="N1" t="inlineStr">
        <is>
          <t xml:space="preserve">correct? ✓/✗</t>
        </is>
      </c>
      <c r="O1" t="inlineStr">
        <is>
          <t xml:space="preserve">issue_type</t>
        </is>
      </c>
      <c r="P1" t="inlineStr">
        <is>
          <t xml:space="preserve">notes</t>
        </is>
      </c>
      <c r="Q1" t="inlineStr">
        <is>
          <t xml:space="preserve">fixed?</t>
        </is>
      </c>
    </row>
    <row r="2" ht="48" customHeight="1">
      <c r="B2" t="n">
        <v>11</v>
      </c>
      <c r="C2" t="inlineStr">
        <is>
          <t xml:space="preserve">تخت خواب</t>
        </is>
      </c>
      <c r="D2" t="inlineStr">
        <is>
          <t xml:space="preserve">bed</t>
        </is>
      </c>
    </row>
    <row r="3" ht="48" customHeight="1">
      <c r="B3" t="n">
        <v>12</v>
      </c>
      <c r="C3" t="inlineStr">
        <is>
          <t xml:space="preserve">پاتختی</t>
        </is>
      </c>
      <c r="D3" t="inlineStr">
        <is>
          <t xml:space="preserve">nightstand</t>
        </is>
      </c>
      <c r="I3" t="inlineStr">
        <is>
          <t xml:space="preserve">drawers, finish</t>
        </is>
      </c>
    </row>
    <row r="4" ht="48" customHeight="1">
      <c r="B4" t="n">
        <v>13</v>
      </c>
      <c r="C4" t="inlineStr">
        <is>
          <t xml:space="preserve">میز</t>
        </is>
      </c>
      <c r="D4" t="inlineStr">
        <is>
          <t xml:space="preserve">table</t>
        </is>
      </c>
    </row>
    <row r="5" ht="48" customHeight="1">
      <c r="B5" t="n">
        <v>14</v>
      </c>
      <c r="C5" t="inlineStr">
        <is>
          <t xml:space="preserve">ذخیره‌ سازی و نظم‌ دهی</t>
        </is>
      </c>
      <c r="D5" t="inlineStr">
        <is>
          <t xml:space="preserve">storage</t>
        </is>
      </c>
    </row>
    <row r="6" ht="48" customHeight="1">
      <c r="B6" t="n">
        <v>15</v>
      </c>
      <c r="C6" t="inlineStr">
        <is>
          <t xml:space="preserve">نمایش و دکوراسیون</t>
        </is>
      </c>
      <c r="D6" t="inlineStr">
        <is>
          <t xml:space="preserve">display</t>
        </is>
      </c>
    </row>
    <row r="7" ht="48" customHeight="1">
      <c r="B7" t="n">
        <v>16</v>
      </c>
      <c r="C7" t="inlineStr">
        <is>
          <t xml:space="preserve">آینه</t>
        </is>
      </c>
      <c r="D7" t="inlineStr">
        <is>
          <t xml:space="preserve">mirror</t>
        </is>
      </c>
    </row>
    <row r="8" ht="48" customHeight="1">
      <c r="B8" t="n">
        <v>17</v>
      </c>
      <c r="C8" t="inlineStr">
        <is>
          <t xml:space="preserve">صندلی</t>
        </is>
      </c>
      <c r="D8" t="inlineStr">
        <is>
          <t xml:space="preserve">seating</t>
        </is>
      </c>
    </row>
    <row r="9" ht="48" customHeight="1">
      <c r="B9" t="n">
        <v>18</v>
      </c>
      <c r="C9" t="inlineStr">
        <is>
          <t xml:space="preserve">تجهیزات مکمل تخت</t>
        </is>
      </c>
      <c r="D9" t="inlineStr">
        <is>
          <t xml:space="preserve">complement</t>
        </is>
      </c>
    </row>
    <row r="10" ht="48" customHeight="1">
      <c r="B10" t="n">
        <v>19</v>
      </c>
      <c r="C10" t="inlineStr">
        <is>
          <t xml:space="preserve">تخت نوزاد</t>
        </is>
      </c>
      <c r="D10" t="inlineStr">
        <is>
          <t xml:space="preserve">baby</t>
        </is>
      </c>
      <c r="E10" t="inlineStr">
        <is>
          <t xml:space="preserve">تخت خواب</t>
        </is>
      </c>
      <c r="I10" t="inlineStr">
        <is>
          <t xml:space="preserve">size, conversion</t>
        </is>
      </c>
    </row>
    <row r="11" ht="48" customHeight="1">
      <c r="B11" t="n">
        <v>20</v>
      </c>
      <c r="C11" t="inlineStr">
        <is>
          <t xml:space="preserve">تخت یک نفره</t>
        </is>
      </c>
      <c r="D11" t="inlineStr">
        <is>
          <t xml:space="preserve">single</t>
        </is>
      </c>
      <c r="E11" t="inlineStr">
        <is>
          <t xml:space="preserve">تخت خواب</t>
        </is>
      </c>
      <c r="I11" t="inlineStr">
        <is>
          <t xml:space="preserve">size, footboard</t>
        </is>
      </c>
    </row>
    <row r="12" ht="48" customHeight="1">
      <c r="B12" t="n">
        <v>21</v>
      </c>
      <c r="C12" t="inlineStr">
        <is>
          <t xml:space="preserve">تخت دونفره</t>
        </is>
      </c>
      <c r="D12" t="inlineStr">
        <is>
          <t xml:space="preserve">double</t>
        </is>
      </c>
      <c r="E12" t="inlineStr">
        <is>
          <t xml:space="preserve">تخت خواب</t>
        </is>
      </c>
      <c r="I12" t="inlineStr">
        <is>
          <t xml:space="preserve">size, footboard</t>
        </is>
      </c>
    </row>
    <row r="13" ht="48" customHeight="1">
      <c r="B13" t="n">
        <v>22</v>
      </c>
      <c r="C13" t="inlineStr">
        <is>
          <t xml:space="preserve">تخت دوطبقه</t>
        </is>
      </c>
      <c r="D13" t="inlineStr">
        <is>
          <t xml:space="preserve">bunk</t>
        </is>
      </c>
      <c r="E13" t="inlineStr">
        <is>
          <t xml:space="preserve">تخت خواب</t>
        </is>
      </c>
      <c r="I13" t="inlineStr">
        <is>
          <t xml:space="preserve">bunk_configuration</t>
        </is>
      </c>
    </row>
    <row r="14" ht="48" customHeight="1">
      <c r="B14" t="n">
        <v>23</v>
      </c>
      <c r="C14" t="inlineStr">
        <is>
          <t xml:space="preserve">میز آرایش</t>
        </is>
      </c>
      <c r="D14" t="inlineStr">
        <is>
          <t xml:space="preserve">vanity</t>
        </is>
      </c>
      <c r="E14" t="inlineStr">
        <is>
          <t xml:space="preserve">میز</t>
        </is>
      </c>
      <c r="I14" t="inlineStr">
        <is>
          <t xml:space="preserve">width, finish, drawers</t>
        </is>
      </c>
    </row>
    <row r="15" ht="48" customHeight="1">
      <c r="B15" t="n">
        <v>24</v>
      </c>
      <c r="C15" t="inlineStr">
        <is>
          <t xml:space="preserve">میز تحریر</t>
        </is>
      </c>
      <c r="D15" t="inlineStr">
        <is>
          <t xml:space="preserve">study-desk</t>
        </is>
      </c>
      <c r="E15" t="inlineStr">
        <is>
          <t xml:space="preserve">میز</t>
        </is>
      </c>
      <c r="I15" t="inlineStr">
        <is>
          <t xml:space="preserve">width, finish</t>
        </is>
      </c>
    </row>
    <row r="16" ht="48" customHeight="1">
      <c r="B16" t="n">
        <v>25</v>
      </c>
      <c r="C16" t="inlineStr">
        <is>
          <t xml:space="preserve">کتابخانه</t>
        </is>
      </c>
      <c r="D16" t="inlineStr">
        <is>
          <t xml:space="preserve">bookcase</t>
        </is>
      </c>
      <c r="E16" t="inlineStr">
        <is>
          <t xml:space="preserve">ذخیره‌ سازی و نظم‌ دهی</t>
        </is>
      </c>
      <c r="I16" t="inlineStr">
        <is>
          <t xml:space="preserve">width, finish</t>
        </is>
      </c>
    </row>
    <row r="17" ht="48" customHeight="1">
      <c r="B17" t="n">
        <v>26</v>
      </c>
      <c r="C17" t="inlineStr">
        <is>
          <t xml:space="preserve">فایل</t>
        </is>
      </c>
      <c r="D17" t="inlineStr">
        <is>
          <t xml:space="preserve">file-cabinet</t>
        </is>
      </c>
      <c r="E17" t="inlineStr">
        <is>
          <t xml:space="preserve">ذخیره‌ سازی و نظم‌ دهی</t>
        </is>
      </c>
      <c r="I17" t="inlineStr">
        <is>
          <t xml:space="preserve">drawers, finish</t>
        </is>
      </c>
    </row>
    <row r="18" ht="48" customHeight="1">
      <c r="B18" t="n">
        <v>27</v>
      </c>
      <c r="C18" t="inlineStr">
        <is>
          <t xml:space="preserve">کمد</t>
        </is>
      </c>
      <c r="D18" t="inlineStr">
        <is>
          <t xml:space="preserve">wardrobe</t>
        </is>
      </c>
      <c r="E18" t="inlineStr">
        <is>
          <t xml:space="preserve">ذخیره‌ سازی و نظم‌ دهی</t>
        </is>
      </c>
      <c r="I18" t="inlineStr">
        <is>
          <t xml:space="preserve">doors, finish</t>
        </is>
      </c>
    </row>
    <row r="19" ht="48" customHeight="1">
      <c r="B19" t="n">
        <v>28</v>
      </c>
      <c r="C19" t="inlineStr">
        <is>
          <t xml:space="preserve">ویترین</t>
        </is>
      </c>
      <c r="D19" t="inlineStr">
        <is>
          <t xml:space="preserve">display-cabinet</t>
        </is>
      </c>
      <c r="E19" t="inlineStr">
        <is>
          <t xml:space="preserve">نمایش و دکوراسیون</t>
        </is>
      </c>
      <c r="I19" t="inlineStr">
        <is>
          <t xml:space="preserve">width, finish</t>
        </is>
      </c>
    </row>
    <row r="20" ht="48" customHeight="1">
      <c r="B20" t="n">
        <v>29</v>
      </c>
      <c r="C20" t="inlineStr">
        <is>
          <t xml:space="preserve">کنسول</t>
        </is>
      </c>
      <c r="D20" t="inlineStr">
        <is>
          <t xml:space="preserve">console</t>
        </is>
      </c>
      <c r="E20" t="inlineStr">
        <is>
          <t xml:space="preserve">نمایش و دکوراسیون</t>
        </is>
      </c>
      <c r="I20" t="inlineStr">
        <is>
          <t xml:space="preserve">drawers, finish</t>
        </is>
      </c>
    </row>
    <row r="21" ht="48" customHeight="1">
      <c r="B21" t="n">
        <v>30</v>
      </c>
      <c r="C21" t="inlineStr">
        <is>
          <t xml:space="preserve">آینه قدی</t>
        </is>
      </c>
      <c r="D21" t="inlineStr">
        <is>
          <t xml:space="preserve">standing-mirror</t>
        </is>
      </c>
      <c r="E21" t="inlineStr">
        <is>
          <t xml:space="preserve">آینه</t>
        </is>
      </c>
      <c r="I21" t="inlineStr">
        <is>
          <t xml:space="preserve">size, finish</t>
        </is>
      </c>
    </row>
    <row r="22" ht="48" customHeight="1">
      <c r="B22" t="n">
        <v>31</v>
      </c>
      <c r="C22" t="inlineStr">
        <is>
          <t xml:space="preserve">آینه رومیزی</t>
        </is>
      </c>
      <c r="D22" t="inlineStr">
        <is>
          <t xml:space="preserve">table-mirror</t>
        </is>
      </c>
      <c r="E22" t="inlineStr">
        <is>
          <t xml:space="preserve">آینه</t>
        </is>
      </c>
      <c r="I22" t="inlineStr">
        <is>
          <t xml:space="preserve">size</t>
        </is>
      </c>
    </row>
    <row r="23" ht="48" customHeight="1">
      <c r="B23" t="n">
        <v>32</v>
      </c>
      <c r="C23" t="inlineStr">
        <is>
          <t xml:space="preserve">آینه دیواری</t>
        </is>
      </c>
      <c r="D23" t="inlineStr">
        <is>
          <t xml:space="preserve">wall-mirror</t>
        </is>
      </c>
      <c r="E23" t="inlineStr">
        <is>
          <t xml:space="preserve">آینه</t>
        </is>
      </c>
      <c r="I23" t="inlineStr">
        <is>
          <t xml:space="preserve">size</t>
        </is>
      </c>
    </row>
    <row r="24" ht="48" customHeight="1">
      <c r="B24" t="n">
        <v>33</v>
      </c>
      <c r="C24" t="inlineStr">
        <is>
          <t xml:space="preserve">صندلی میز آرایش</t>
        </is>
      </c>
      <c r="D24" t="inlineStr">
        <is>
          <t xml:space="preserve">vanity-chair</t>
        </is>
      </c>
      <c r="E24" t="inlineStr">
        <is>
          <t xml:space="preserve">صندلی</t>
        </is>
      </c>
      <c r="I24" t="inlineStr">
        <is>
          <t xml:space="preserve">fabric, finish</t>
        </is>
      </c>
    </row>
    <row r="25" ht="48" customHeight="1">
      <c r="B25" t="n">
        <v>34</v>
      </c>
      <c r="C25" t="inlineStr">
        <is>
          <t xml:space="preserve">صندلی میز تحریر</t>
        </is>
      </c>
      <c r="D25" t="inlineStr">
        <is>
          <t xml:space="preserve">study-chair</t>
        </is>
      </c>
      <c r="E25" t="inlineStr">
        <is>
          <t xml:space="preserve">صندلی</t>
        </is>
      </c>
      <c r="I25" t="inlineStr">
        <is>
          <t xml:space="preserve">fabric, finish</t>
        </is>
      </c>
    </row>
    <row r="26" ht="48" customHeight="1">
      <c r="B26" t="n">
        <v>35</v>
      </c>
      <c r="C26" t="inlineStr">
        <is>
          <t xml:space="preserve">لاوست</t>
        </is>
      </c>
      <c r="D26" t="inlineStr">
        <is>
          <t xml:space="preserve">loveseat</t>
        </is>
      </c>
      <c r="E26" t="inlineStr">
        <is>
          <t xml:space="preserve">صندلی</t>
        </is>
      </c>
      <c r="I26" t="inlineStr">
        <is>
          <t xml:space="preserve">fabric</t>
        </is>
      </c>
    </row>
    <row r="27" ht="48" customHeight="1">
      <c r="B27" t="n">
        <v>36</v>
      </c>
      <c r="C27" t="inlineStr">
        <is>
          <t xml:space="preserve">باکس تخت</t>
        </is>
      </c>
      <c r="D27" t="inlineStr">
        <is>
          <t xml:space="preserve">bed-box</t>
        </is>
      </c>
      <c r="E27" t="inlineStr">
        <is>
          <t xml:space="preserve">تجهیزات مکمل تخت</t>
        </is>
      </c>
      <c r="I27" t="inlineStr">
        <is>
          <t xml:space="preserve">size</t>
        </is>
      </c>
    </row>
    <row r="28" ht="48" customHeight="1">
      <c r="B28" t="n">
        <v>37</v>
      </c>
      <c r="C28" t="inlineStr">
        <is>
          <t xml:space="preserve">حفاظ تخت</t>
        </is>
      </c>
      <c r="D28" t="inlineStr">
        <is>
          <t xml:space="preserve">bed-guard</t>
        </is>
      </c>
      <c r="E28" t="inlineStr">
        <is>
          <t xml:space="preserve">تجهیزات مکمل تخت</t>
        </is>
      </c>
      <c r="I28" t="inlineStr">
        <is>
          <t xml:space="preserve">size</t>
        </is>
      </c>
    </row>
    <row r="29" ht="48" customHeight="1">
      <c r="B29" t="n">
        <v>38</v>
      </c>
      <c r="C29" t="inlineStr">
        <is>
          <t xml:space="preserve">جک کفی تخت</t>
        </is>
      </c>
      <c r="D29" t="inlineStr">
        <is>
          <t xml:space="preserve">bed-jack</t>
        </is>
      </c>
      <c r="E29" t="inlineStr">
        <is>
          <t xml:space="preserve">تجهیزات مکمل تخت</t>
        </is>
      </c>
      <c r="I29" t="inlineStr">
        <is>
          <t xml:space="preserve">size</t>
        </is>
      </c>
    </row>
    <row r="30" ht="48" customHeight="1">
      <c r="B30" t="n">
        <v>39</v>
      </c>
      <c r="C30" t="inlineStr">
        <is>
          <t xml:space="preserve">میز تعویض</t>
        </is>
      </c>
      <c r="D30" t="inlineStr">
        <is>
          <t xml:space="preserve">changing-table</t>
        </is>
      </c>
      <c r="E30" t="inlineStr">
        <is>
          <t xml:space="preserve">تجهیزات مکمل تخت</t>
        </is>
      </c>
      <c r="I30" t="inlineStr">
        <is>
          <t xml:space="preserve">finish</t>
        </is>
      </c>
    </row>
    <row r="31" ht="48" customHeight="1">
      <c r="B31" t="n">
        <v>40</v>
      </c>
      <c r="C31" t="inlineStr">
        <is>
          <t xml:space="preserve">صفحه میز تعویض</t>
        </is>
      </c>
      <c r="D31" t="inlineStr">
        <is>
          <t xml:space="preserve">changing-top</t>
        </is>
      </c>
      <c r="E31" t="inlineStr">
        <is>
          <t xml:space="preserve">تجهیزات مکمل تخت</t>
        </is>
      </c>
      <c r="I31" t="inlineStr">
        <is>
          <t xml:space="preserve">finish</t>
        </is>
      </c>
    </row>
    <row r="32" ht="48" customHeight="1">
      <c r="B32" t="n">
        <v>41</v>
      </c>
      <c r="C32" t="inlineStr">
        <is>
          <t xml:space="preserve">شلف دیواری (براکت)</t>
        </is>
      </c>
      <c r="D32" t="inlineStr">
        <is>
          <t xml:space="preserve">wall-shelf</t>
        </is>
      </c>
      <c r="E32" t="inlineStr">
        <is>
          <t xml:space="preserve">تجهیزات مکمل تخت</t>
        </is>
      </c>
      <c r="I32" t="inlineStr">
        <is>
          <t xml:space="preserve">width, finish</t>
        </is>
      </c>
    </row>
    <row r="33" ht="48" customHeight="1">
      <c r="B33" t="n">
        <v>42</v>
      </c>
      <c r="C33" t="inlineStr">
        <is>
          <t xml:space="preserve">تخت نوزاد دومظوره (نوزاد نوجوان، کاناپه ای)</t>
        </is>
      </c>
      <c r="D33" t="inlineStr">
        <is>
          <t xml:space="preserve">convertible</t>
        </is>
      </c>
      <c r="E33" t="inlineStr">
        <is>
          <t xml:space="preserve">تخت نوزاد</t>
        </is>
      </c>
      <c r="I33" t="inlineStr">
        <is>
          <t xml:space="preserve">size</t>
        </is>
      </c>
      <c r="J33" t="inlineStr">
        <is>
          <t xml:space="preserve">✓</t>
        </is>
      </c>
    </row>
    <row r="34" ht="48" customHeight="1">
      <c r="B34" t="n">
        <v>43</v>
      </c>
      <c r="C34" t="inlineStr">
        <is>
          <t xml:space="preserve">کمد یک درب</t>
        </is>
      </c>
      <c r="D34" t="inlineStr">
        <is>
          <t xml:space="preserve">single-door</t>
        </is>
      </c>
      <c r="E34" t="inlineStr">
        <is>
          <t xml:space="preserve">کمد</t>
        </is>
      </c>
      <c r="I34" t="inlineStr">
        <is>
          <t xml:space="preserve">finish</t>
        </is>
      </c>
      <c r="J34" t="inlineStr">
        <is>
          <t xml:space="preserve">✓</t>
        </is>
      </c>
    </row>
    <row r="35" ht="48" customHeight="1">
      <c r="B35" t="n">
        <v>44</v>
      </c>
      <c r="C35" t="inlineStr">
        <is>
          <t xml:space="preserve">کمد دو درب</t>
        </is>
      </c>
      <c r="D35" t="inlineStr">
        <is>
          <t xml:space="preserve">double-door</t>
        </is>
      </c>
      <c r="E35" t="inlineStr">
        <is>
          <t xml:space="preserve">کمد</t>
        </is>
      </c>
      <c r="I35" t="inlineStr">
        <is>
          <t xml:space="preserve">finish</t>
        </is>
      </c>
      <c r="J35" t="inlineStr">
        <is>
          <t xml:space="preserve">✓</t>
        </is>
      </c>
    </row>
    <row r="36" ht="48" customHeight="1">
      <c r="B36" t="n">
        <v>45</v>
      </c>
      <c r="C36" t="inlineStr">
        <is>
          <t xml:space="preserve">کمد سه درب</t>
        </is>
      </c>
      <c r="D36" t="inlineStr">
        <is>
          <t xml:space="preserve">triple-door</t>
        </is>
      </c>
      <c r="E36" t="inlineStr">
        <is>
          <t xml:space="preserve">کمد</t>
        </is>
      </c>
      <c r="I36" t="inlineStr">
        <is>
          <t xml:space="preserve">finish, glass</t>
        </is>
      </c>
      <c r="J36" t="inlineStr">
        <is>
          <t xml:space="preserve">✓</t>
        </is>
      </c>
    </row>
    <row r="37" ht="48" customHeight="1">
      <c r="B37" t="n">
        <v>46</v>
      </c>
      <c r="C37" t="inlineStr">
        <is>
          <t xml:space="preserve">کمد ریلی</t>
        </is>
      </c>
      <c r="D37" t="inlineStr">
        <is>
          <t xml:space="preserve">sliding</t>
        </is>
      </c>
      <c r="E37" t="inlineStr">
        <is>
          <t xml:space="preserve">کمد</t>
        </is>
      </c>
      <c r="I37" t="inlineStr">
        <is>
          <t xml:space="preserve">finish</t>
        </is>
      </c>
      <c r="J37" t="inlineStr">
        <is>
          <t xml:space="preserve">✓</t>
        </is>
      </c>
    </row>
  </sheetData>
  <autoFilter ref="A1:Q37"/>
</worksheet>
</file>

<file path=xl/worksheets/sheet4.xml><?xml version="1.0" encoding="utf-8"?>
<worksheet xmlns="http://schemas.openxmlformats.org/spreadsheetml/2006/main">
  <cols>
    <col min="1" max="1" width="13" customWidth="1"/>
  </cols>
  <sheetViews>
    <sheetView workbookViewId="0">
      <pane xSplit="0" ySplit="1" topLeftCell="A2" activePane="bottomLeft" state="frozen"/>
    </sheetView>
  </sheetViews>
  <sheetData>
    <row r="1">
      <c r="A1" t="inlineStr">
        <is>
          <t xml:space="preserve">preview</t>
        </is>
      </c>
      <c r="B1" t="inlineStr">
        <is>
          <t xml:space="preserve">id</t>
        </is>
      </c>
      <c r="C1" t="inlineStr">
        <is>
          <t xml:space="preserve">name</t>
        </is>
      </c>
      <c r="D1" t="inlineStr">
        <is>
          <t xml:space="preserve">slug</t>
        </is>
      </c>
      <c r="E1" t="inlineStr">
        <is>
          <t xml:space="preserve">featured</t>
        </is>
      </c>
      <c r="F1" t="inlineStr">
        <is>
          <t xml:space="preserve">products_count</t>
        </is>
      </c>
      <c r="G1" t="inlineStr">
        <is>
          <t xml:space="preserve">cover</t>
        </is>
      </c>
      <c r="H1" t="inlineStr">
        <is>
          <t xml:space="preserve">has_description</t>
        </is>
      </c>
      <c r="I1" t="inlineStr">
        <is>
          <t xml:space="preserve">has_seo</t>
        </is>
      </c>
      <c r="J1" t="inlineStr">
        <is>
          <t xml:space="preserve">correct? ✓/✗</t>
        </is>
      </c>
      <c r="K1" t="inlineStr">
        <is>
          <t xml:space="preserve">issue_type</t>
        </is>
      </c>
      <c r="L1" t="inlineStr">
        <is>
          <t xml:space="preserve">notes</t>
        </is>
      </c>
      <c r="M1" t="inlineStr">
        <is>
          <t xml:space="preserve">fixed?</t>
        </is>
      </c>
    </row>
    <row r="2" ht="48" customHeight="1">
      <c r="B2" t="n">
        <v>1</v>
      </c>
      <c r="C2" t="inlineStr">
        <is>
          <t xml:space="preserve">مجموعه‌ی شب آرام</t>
        </is>
      </c>
      <c r="D2" t="inlineStr">
        <is>
          <t xml:space="preserve">shab-aram</t>
        </is>
      </c>
      <c r="E2" t="inlineStr">
        <is>
          <t xml:space="preserve">✓</t>
        </is>
      </c>
      <c r="F2" t="n">
        <v>0</v>
      </c>
      <c r="H2" t="inlineStr">
        <is>
          <t xml:space="preserve">✓</t>
        </is>
      </c>
    </row>
  </sheetData>
  <autoFilter ref="A1:M2"/>
</worksheet>
</file>

<file path=xl/worksheets/sheet5.xml><?xml version="1.0" encoding="utf-8"?>
<worksheet xmlns="http://schemas.openxmlformats.org/spreadsheetml/2006/main">
  <cols>
    <col min="1" max="1" width="13" customWidth="1"/>
  </cols>
  <sheetViews>
    <sheetView workbookViewId="0">
      <pane xSplit="0" ySplit="1" topLeftCell="A2" activePane="bottomLeft" state="frozen"/>
    </sheetView>
  </sheetViews>
  <sheetData>
    <row r="1">
      <c r="A1" t="inlineStr">
        <is>
          <t xml:space="preserve">preview</t>
        </is>
      </c>
      <c r="B1" t="inlineStr">
        <is>
          <t xml:space="preserve">id</t>
        </is>
      </c>
      <c r="C1" t="inlineStr">
        <is>
          <t xml:space="preserve">name</t>
        </is>
      </c>
      <c r="D1" t="inlineStr">
        <is>
          <t xml:space="preserve">slug</t>
        </is>
      </c>
      <c r="E1" t="inlineStr">
        <is>
          <t xml:space="preserve">tagline</t>
        </is>
      </c>
      <c r="F1" t="inlineStr">
        <is>
          <t xml:space="preserve">has_longDesc</t>
        </is>
      </c>
      <c r="G1" t="inlineStr">
        <is>
          <t xml:space="preserve">cover</t>
        </is>
      </c>
      <c r="H1" t="inlineStr">
        <is>
          <t xml:space="preserve">has_seo</t>
        </is>
      </c>
      <c r="I1" t="inlineStr">
        <is>
          <t xml:space="preserve">correct? ✓/✗</t>
        </is>
      </c>
      <c r="J1" t="inlineStr">
        <is>
          <t xml:space="preserve">issue_type</t>
        </is>
      </c>
      <c r="K1" t="inlineStr">
        <is>
          <t xml:space="preserve">notes</t>
        </is>
      </c>
      <c r="L1" t="inlineStr">
        <is>
          <t xml:space="preserve">fixed?</t>
        </is>
      </c>
    </row>
    <row r="2" ht="48" customHeight="1">
      <c r="A2">
        <f>IMAGE("http://80.240.31.146:3000/_next/image?url=%2Fapi%2Fmedia%2Ffile%2F8c271a60-3faf-477a-8353-39a63a077ea0-1.webp&amp;w=256&amp;q=75",4,60,80)</f>
      </c>
      <c r="B2" t="n">
        <v>3</v>
      </c>
      <c r="C2" t="inlineStr">
        <is>
          <t xml:space="preserve">اتاق بزرگسال</t>
        </is>
      </c>
      <c r="D2" t="inlineStr">
        <is>
          <t xml:space="preserve">adult</t>
        </is>
      </c>
      <c r="E2" t="inlineStr">
        <is>
          <t xml:space="preserve">سرویس‌های هماهنگ از گردوی ایرانی، برای آرامش بلندمدت.</t>
        </is>
      </c>
      <c r="G2" t="inlineStr">
        <is>
          <t xml:space="preserve">8c271a60-3faf-477a-8353-39a63a077ea0-1.webp</t>
        </is>
      </c>
    </row>
    <row r="3" ht="48" customHeight="1">
      <c r="A3">
        <f>IMAGE("http://80.240.31.146:3000/_next/image?url=%2Fapi%2Fmedia%2Ffile%2Fab58082b-db29-4d05-996b-8fa9b593c666-2.webp&amp;w=256&amp;q=75",4,60,80)</f>
      </c>
      <c r="B3" t="n">
        <v>2</v>
      </c>
      <c r="C3" t="inlineStr">
        <is>
          <t xml:space="preserve">اتاق نوجوان</t>
        </is>
      </c>
      <c r="D3" t="inlineStr">
        <is>
          <t xml:space="preserve">teen</t>
        </is>
      </c>
      <c r="E3" t="inlineStr">
        <is>
          <t xml:space="preserve">طراحی‌های منعطف برای سال‌های پر‌تغییر؛ از میز تحریر تا کتابخانه.</t>
        </is>
      </c>
      <c r="G3" t="inlineStr">
        <is>
          <t xml:space="preserve">ab58082b-db29-4d05-996b-8fa9b593c666-2.webp</t>
        </is>
      </c>
    </row>
    <row r="4" ht="48" customHeight="1">
      <c r="A4">
        <f>IMAGE("http://80.240.31.146:3000/_next/image?url=%2Fapi%2Fmedia%2Ffile%2F3fa773ad-cde6-48a9-a699-ad046b36c67e-1.webp&amp;w=256&amp;q=75",4,60,80)</f>
      </c>
      <c r="B4" t="n">
        <v>1</v>
      </c>
      <c r="C4" t="inlineStr">
        <is>
          <t xml:space="preserve">اتاق کودک</t>
        </is>
      </c>
      <c r="D4" t="inlineStr">
        <is>
          <t xml:space="preserve">kid</t>
        </is>
      </c>
      <c r="E4" t="inlineStr">
        <is>
          <t xml:space="preserve">سرویس‌ها و قطعات ایمن، با رنگ‌های آرام و قابل‌رشد همراه با کودک.</t>
        </is>
      </c>
      <c r="G4" t="inlineStr">
        <is>
          <t xml:space="preserve">3fa773ad-cde6-48a9-a699-ad046b36c67e-1.webp</t>
        </is>
      </c>
    </row>
  </sheetData>
  <autoFilter ref="A1:L4"/>
</worksheet>
</file>